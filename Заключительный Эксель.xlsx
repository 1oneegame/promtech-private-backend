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zha\OneDrive\Desktop\lele\Заключительный отчет+\"/>
    </mc:Choice>
  </mc:AlternateContent>
  <xr:revisionPtr revIDLastSave="0" documentId="13_ncr:1_{446E29F5-BF30-4DCD-97DD-045D8BE91193}" xr6:coauthVersionLast="47" xr6:coauthVersionMax="47" xr10:uidLastSave="{00000000-0000-0000-0000-000000000000}"/>
  <bookViews>
    <workbookView xWindow="-108" yWindow="-108" windowWidth="23256" windowHeight="12456" tabRatio="725" activeTab="2" xr2:uid="{00000000-000D-0000-FFFF-FFFF00000000}"/>
  </bookViews>
  <sheets>
    <sheet name="Журнал раскладки труб" sheetId="24" r:id="rId1"/>
    <sheet name="Маркеры" sheetId="17" r:id="rId2"/>
    <sheet name="Инсталляции" sheetId="6" r:id="rId3"/>
    <sheet name="Список врезок" sheetId="16" r:id="rId4"/>
    <sheet name="Аномалии" sheetId="11" r:id="rId5"/>
    <sheet name="Список наиб. опасн. аномалий" sheetId="3" r:id="rId6"/>
    <sheet name="Список наиб. опасн. расслоений" sheetId="25" r:id="rId7"/>
    <sheet name="Список наиб. опасн. вмятин" sheetId="19" r:id="rId8"/>
    <sheet name="Аномалии первоочередн. ремонта" sheetId="14" r:id="rId9"/>
    <sheet name="Аномалии подлежащие ремонту" sheetId="15" r:id="rId10"/>
    <sheet name="Список расслоений" sheetId="20" r:id="rId11"/>
    <sheet name="Аномалии ВД" sheetId="18" r:id="rId12"/>
    <sheet name="Кластера и кластериз. аномалии" sheetId="22" r:id="rId13"/>
    <sheet name="Ремонты" sheetId="23" r:id="rId14"/>
  </sheets>
  <definedNames>
    <definedName name="_xlnm._FilterDatabase" localSheetId="4" hidden="1">Аномалии!$A$5:$AE$13</definedName>
    <definedName name="_xlnm._FilterDatabase" localSheetId="11" hidden="1">'Аномалии ВД'!$A$7:$S$10</definedName>
    <definedName name="_xlnm._FilterDatabase" localSheetId="8" hidden="1">'Аномалии первоочередн. ремонта'!#REF!</definedName>
    <definedName name="_xlnm._FilterDatabase" localSheetId="9" hidden="1">'Аномалии подлежащие ремонту'!#REF!</definedName>
    <definedName name="_xlnm._FilterDatabase" localSheetId="0" hidden="1">'Журнал раскладки труб'!$A$7:$AC$13</definedName>
    <definedName name="_xlnm._FilterDatabase" localSheetId="2" hidden="1">Инсталляции!$A$7:$K$11</definedName>
    <definedName name="_xlnm._FilterDatabase" localSheetId="12" hidden="1">'Кластера и кластериз. аномалии'!#REF!</definedName>
    <definedName name="_xlnm._FilterDatabase" localSheetId="13" hidden="1">Ремонты!$A$7:$L$7</definedName>
    <definedName name="_xlnm._FilterDatabase" localSheetId="5" hidden="1">'Список наиб. опасн. аномалий'!#REF!</definedName>
    <definedName name="_xlnm._FilterDatabase" localSheetId="7" hidden="1">'Список наиб. опасн. вмятин'!$A$1:$N$6</definedName>
    <definedName name="_xlnm._FilterDatabase" localSheetId="6" hidden="1">'Список наиб. опасн. расслоений'!#REF!</definedName>
    <definedName name="_xlnm._FilterDatabase" localSheetId="10" hidden="1">'Список расслоений'!$A$7:$V$11</definedName>
    <definedName name="_xlnm.Print_Area" localSheetId="8">'Аномалии первоочередн. ремонта'!$A$1:$V$6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3" l="1"/>
  <c r="A3" i="22"/>
  <c r="A3" i="18"/>
  <c r="A3" i="20"/>
  <c r="A3" i="15"/>
  <c r="A3" i="14"/>
  <c r="A3" i="19"/>
  <c r="A3" i="25"/>
  <c r="A3" i="3"/>
  <c r="A3" i="11"/>
  <c r="A3" i="16"/>
  <c r="A3" i="6"/>
  <c r="A3" i="17" l="1"/>
</calcChain>
</file>

<file path=xl/sharedStrings.xml><?xml version="1.0" encoding="utf-8"?>
<sst xmlns="http://schemas.openxmlformats.org/spreadsheetml/2006/main" count="1011" uniqueCount="137">
  <si>
    <t>ERF B31G</t>
  </si>
  <si>
    <t xml:space="preserve"> </t>
  </si>
  <si>
    <t>-</t>
  </si>
  <si>
    <t>X</t>
  </si>
  <si>
    <t>измер. расст. [м]</t>
  </si>
  <si>
    <t>№ секции</t>
  </si>
  <si>
    <t>длина секции [м]</t>
  </si>
  <si>
    <t>прив.ТС [мм]</t>
  </si>
  <si>
    <t>расст. до шва против теч. [м]</t>
  </si>
  <si>
    <t>тип особенности</t>
  </si>
  <si>
    <t>идентификация</t>
  </si>
  <si>
    <t>комментарий</t>
  </si>
  <si>
    <t>внеш. размеры</t>
  </si>
  <si>
    <t>ориентация</t>
  </si>
  <si>
    <t>длина [мм]</t>
  </si>
  <si>
    <t>ширина [мм]</t>
  </si>
  <si>
    <t>макс. глубина [%]</t>
  </si>
  <si>
    <t>средняя глубина [%]</t>
  </si>
  <si>
    <t>абс. глубина [мм]</t>
  </si>
  <si>
    <t>остат. ТС [мм]</t>
  </si>
  <si>
    <t>рез. глубина [%]</t>
  </si>
  <si>
    <t>уменьш. ВД [%]</t>
  </si>
  <si>
    <t>глубина вмятины [%]</t>
  </si>
  <si>
    <t>ERF (случай 1)</t>
  </si>
  <si>
    <t>ERF (случай 2)</t>
  </si>
  <si>
    <t>ERF DNV</t>
  </si>
  <si>
    <t>локация на поверхн.</t>
  </si>
  <si>
    <t>категория</t>
  </si>
  <si>
    <t>Широта [°]</t>
  </si>
  <si>
    <t>Долгота [°]</t>
  </si>
  <si>
    <t>высота [м]</t>
  </si>
  <si>
    <t>начало записи данных</t>
  </si>
  <si>
    <t>сварной шов</t>
  </si>
  <si>
    <t>кран</t>
  </si>
  <si>
    <t>отвод</t>
  </si>
  <si>
    <t>тройник</t>
  </si>
  <si>
    <t>500 мм</t>
  </si>
  <si>
    <t>металлический объект</t>
  </si>
  <si>
    <t>дл. = 40 мм / шир. = 50 мм</t>
  </si>
  <si>
    <t>продольношовная</t>
  </si>
  <si>
    <t>потеря металла</t>
  </si>
  <si>
    <t>коррозия</t>
  </si>
  <si>
    <t>ЯЗВА</t>
  </si>
  <si>
    <t>ВНШ</t>
  </si>
  <si>
    <t>коррозионный кластер</t>
  </si>
  <si>
    <t>ОБШР</t>
  </si>
  <si>
    <t>наземный маркер</t>
  </si>
  <si>
    <t>№ 1</t>
  </si>
  <si>
    <t>рядом мет. объект</t>
  </si>
  <si>
    <t>ВНТ</t>
  </si>
  <si>
    <t>ремонт</t>
  </si>
  <si>
    <t>приварная муфта начало</t>
  </si>
  <si>
    <t>аномалия ВД</t>
  </si>
  <si>
    <t>отремонтированная аномалия</t>
  </si>
  <si>
    <t>под муфтой</t>
  </si>
  <si>
    <t>не прив.</t>
  </si>
  <si>
    <t>приварная муфта конец</t>
  </si>
  <si>
    <t>кластер заводских аномалий</t>
  </si>
  <si>
    <t>расслоение</t>
  </si>
  <si>
    <t>параллель</t>
  </si>
  <si>
    <t>сплошная</t>
  </si>
  <si>
    <t>ВСТ</t>
  </si>
  <si>
    <t>ПОКН</t>
  </si>
  <si>
    <t>овальность</t>
  </si>
  <si>
    <t>на кольцевом шве / возм. вызвано полевым коленом</t>
  </si>
  <si>
    <t>прерывистая</t>
  </si>
  <si>
    <t>наклонная</t>
  </si>
  <si>
    <t>сплошная, у продольного шва</t>
  </si>
  <si>
    <t>возм. вызвано полевым коленом</t>
  </si>
  <si>
    <t>ЖУРНАЛ РАСКЛАДКИ ТРУБ</t>
  </si>
  <si>
    <t>Дата:</t>
  </si>
  <si>
    <t>название</t>
  </si>
  <si>
    <t>до ориентира [м]</t>
  </si>
  <si>
    <t>ориентир на [м]</t>
  </si>
  <si>
    <t>название ориентира</t>
  </si>
  <si>
    <t>СПИСОК МАРКЕРОВ</t>
  </si>
  <si>
    <t>СПИСОК ИНСТАЛЛЯЦИЙ</t>
  </si>
  <si>
    <t>СПИСОК ОТВОДОВ-ВРЕЗОК</t>
  </si>
  <si>
    <t>СПИСОК  ВСЕХ АНОМАЛИЙ</t>
  </si>
  <si>
    <t>СПИСОК НАИБОЛЕЕ ОПАСНЫХ АНОМАЛИЙ ПОТЕРИ МЕТАЛЛА</t>
  </si>
  <si>
    <t>СПИСОК НАИБОЛЕЕ ОПАСНЫХ РАССЛОЕНИЙ</t>
  </si>
  <si>
    <t>СПИСОК НАИБОЛЕЕ ОПАСНЫХ ВМЯТИН</t>
  </si>
  <si>
    <t>СПИСОК АНОМАЛИЙ ДЛЯ ПЕРВООЧЕРЕДНОГО РЕМОНТА</t>
  </si>
  <si>
    <t>СПИСОК АНОМАЛИЙ, ПОДЛЕЖАЩИХ РЕМОНТУ</t>
  </si>
  <si>
    <t>СПИСОК РАССЛОЕНИЙ</t>
  </si>
  <si>
    <t>СПИСОК АНОМАЛИЙ ВНУТРЕННЕГО ДИАМЕТРА</t>
  </si>
  <si>
    <t>СПИСОК КЛАСТЕРОВ И КЛАСТЕРИЗОВАННЫХ АНОМАЛИЙ</t>
  </si>
  <si>
    <t>СПИСОК РЕМОНТНЫХ ЭЛЕМЕНТОВ</t>
  </si>
  <si>
    <t>тип инсталяции</t>
  </si>
  <si>
    <t>до маркера [м]</t>
  </si>
  <si>
    <t>маркер на [м]</t>
  </si>
  <si>
    <t>маркер / маркер_комментарий</t>
  </si>
  <si>
    <t>наземный маркер  / № 1</t>
  </si>
  <si>
    <t>шов на [м]</t>
  </si>
  <si>
    <t>тип аномалии</t>
  </si>
  <si>
    <t>глубина [мм] / абс. глубина [мм]</t>
  </si>
  <si>
    <t>класс лок.</t>
  </si>
  <si>
    <t>кластер</t>
  </si>
  <si>
    <t>№ кластера</t>
  </si>
  <si>
    <t>ВТр</t>
  </si>
  <si>
    <t>НШв</t>
  </si>
  <si>
    <t>ВбШ</t>
  </si>
  <si>
    <t>глубина [мм] [мм]</t>
  </si>
  <si>
    <t>расст. до шва против [м]</t>
  </si>
  <si>
    <t>чч:мм</t>
  </si>
  <si>
    <t>измер. расст. / идентификация</t>
  </si>
  <si>
    <t>ост_ТС_абс</t>
  </si>
  <si>
    <t>ост_ТС_относ [%]</t>
  </si>
  <si>
    <t>UT_T1 [мм]</t>
  </si>
  <si>
    <t>UT_T2 [мм]</t>
  </si>
  <si>
    <t>методы ремонта</t>
  </si>
  <si>
    <t>глубина [%]</t>
  </si>
  <si>
    <t>Ремонт</t>
  </si>
  <si>
    <t>зашлифовка</t>
  </si>
  <si>
    <t>заварка</t>
  </si>
  <si>
    <t>класс / идентификация</t>
  </si>
  <si>
    <t>№ проекта:</t>
  </si>
  <si>
    <t>Участок</t>
  </si>
  <si>
    <t>№ проекта :</t>
  </si>
  <si>
    <t>48.476357</t>
  </si>
  <si>
    <t>57.660536</t>
  </si>
  <si>
    <t>264.8</t>
  </si>
  <si>
    <t>48.477145</t>
  </si>
  <si>
    <t>57.661820</t>
  </si>
  <si>
    <t>48.477933</t>
  </si>
  <si>
    <t>57.663105</t>
  </si>
  <si>
    <t>48.478721</t>
  </si>
  <si>
    <t>57.664389</t>
  </si>
  <si>
    <t>48.479509</t>
  </si>
  <si>
    <t>57.665673</t>
  </si>
  <si>
    <t>48.480297</t>
  </si>
  <si>
    <t>57.666958</t>
  </si>
  <si>
    <t>265.1</t>
  </si>
  <si>
    <t>264.9</t>
  </si>
  <si>
    <t>265.3</t>
  </si>
  <si>
    <t>265.0</t>
  </si>
  <si>
    <t>265.2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</si>
</sst>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[$-407]d\.\ mmmm\ yyyy;@"/>
    <numFmt numFmtId="166" formatCode="hh:mm"/>
    <numFmt numFmtId="167" formatCode="0.0000"/>
    <numFmt numFmtId="168" formatCode="0.0"/>
    <numFmt numFmtId="169" formatCode="[$-409]d\-mmm\-yyyy;@"/>
    <numFmt numFmtId="170" formatCode="[$-409]d\-mmm\-yy;@"/>
    <numFmt numFmtId="171" formatCode="0.000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sz val="8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Verdana"/>
      <family val="2"/>
    </font>
    <font>
      <b/>
      <sz val="10"/>
      <name val="Arial"/>
      <family val="2"/>
      <charset val="204"/>
    </font>
    <font>
      <b/>
      <sz val="8"/>
      <name val="Verdana"/>
      <family val="2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name val="Calibri"/>
      <family val="2"/>
      <charset val="204"/>
    </font>
    <font>
      <sz val="10"/>
      <name val="Calibri"/>
      <family val="2"/>
      <charset val="204"/>
    </font>
    <font>
      <sz val="8"/>
      <color theme="1"/>
      <name val="Arial"/>
      <family val="2"/>
      <charset val="204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3" borderId="4" applyNumberFormat="0" applyFont="0" applyAlignment="0" applyProtection="0"/>
  </cellStyleXfs>
  <cellXfs count="195">
    <xf numFmtId="0" fontId="0" fillId="0" borderId="0" xfId="0"/>
    <xf numFmtId="0" fontId="1" fillId="0" borderId="0" xfId="11"/>
    <xf numFmtId="0" fontId="2" fillId="0" borderId="0" xfId="11" applyFont="1" applyAlignment="1">
      <alignment horizontal="left"/>
    </xf>
    <xf numFmtId="2" fontId="1" fillId="0" borderId="0" xfId="11" applyNumberFormat="1"/>
    <xf numFmtId="2" fontId="1" fillId="0" borderId="0" xfId="11" applyNumberFormat="1" applyAlignment="1">
      <alignment horizontal="center"/>
    </xf>
    <xf numFmtId="0" fontId="1" fillId="0" borderId="0" xfId="11" applyAlignment="1">
      <alignment horizontal="center"/>
    </xf>
    <xf numFmtId="2" fontId="3" fillId="0" borderId="0" xfId="11" applyNumberFormat="1" applyFont="1" applyAlignment="1">
      <alignment horizontal="left"/>
    </xf>
    <xf numFmtId="2" fontId="4" fillId="0" borderId="0" xfId="11" applyNumberFormat="1" applyFont="1" applyAlignment="1">
      <alignment horizontal="center"/>
    </xf>
    <xf numFmtId="164" fontId="0" fillId="0" borderId="0" xfId="0" applyNumberFormat="1"/>
    <xf numFmtId="164" fontId="2" fillId="0" borderId="0" xfId="11" applyNumberFormat="1" applyFont="1" applyAlignment="1">
      <alignment horizontal="left"/>
    </xf>
    <xf numFmtId="164" fontId="3" fillId="0" borderId="0" xfId="11" applyNumberFormat="1" applyFont="1" applyAlignment="1">
      <alignment horizontal="left"/>
    </xf>
    <xf numFmtId="164" fontId="5" fillId="0" borderId="0" xfId="11" applyNumberFormat="1" applyFont="1" applyAlignment="1">
      <alignment horizontal="left"/>
    </xf>
    <xf numFmtId="164" fontId="1" fillId="0" borderId="0" xfId="11" applyNumberFormat="1"/>
    <xf numFmtId="164" fontId="1" fillId="0" borderId="0" xfId="11" applyNumberFormat="1" applyAlignment="1">
      <alignment horizontal="center"/>
    </xf>
    <xf numFmtId="164" fontId="5" fillId="0" borderId="0" xfId="11" applyNumberFormat="1" applyFont="1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4" fontId="5" fillId="0" borderId="0" xfId="11" applyNumberFormat="1" applyFont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8" fillId="0" borderId="0" xfId="12"/>
    <xf numFmtId="0" fontId="8" fillId="0" borderId="0" xfId="12" applyAlignment="1">
      <alignment horizontal="center"/>
    </xf>
    <xf numFmtId="2" fontId="8" fillId="0" borderId="0" xfId="12" applyNumberFormat="1" applyAlignment="1">
      <alignment horizontal="center"/>
    </xf>
    <xf numFmtId="2" fontId="1" fillId="0" borderId="0" xfId="12" applyNumberFormat="1" applyFont="1" applyAlignment="1">
      <alignment horizontal="center"/>
    </xf>
    <xf numFmtId="0" fontId="4" fillId="0" borderId="0" xfId="12" applyFont="1" applyAlignment="1">
      <alignment horizontal="center"/>
    </xf>
    <xf numFmtId="0" fontId="1" fillId="0" borderId="0" xfId="12" applyFont="1" applyAlignment="1">
      <alignment horizontal="center"/>
    </xf>
    <xf numFmtId="0" fontId="2" fillId="0" borderId="0" xfId="12" applyFont="1" applyAlignment="1">
      <alignment horizontal="left"/>
    </xf>
    <xf numFmtId="1" fontId="0" fillId="0" borderId="2" xfId="0" applyNumberFormat="1" applyBorder="1" applyAlignment="1">
      <alignment horizontal="center"/>
    </xf>
    <xf numFmtId="1" fontId="8" fillId="0" borderId="0" xfId="12" applyNumberFormat="1" applyAlignment="1">
      <alignment horizontal="center"/>
    </xf>
    <xf numFmtId="1" fontId="0" fillId="0" borderId="0" xfId="0" applyNumberFormat="1"/>
    <xf numFmtId="1" fontId="1" fillId="0" borderId="0" xfId="11" applyNumberFormat="1" applyAlignment="1">
      <alignment horizontal="center"/>
    </xf>
    <xf numFmtId="164" fontId="9" fillId="2" borderId="1" xfId="11" applyNumberFormat="1" applyFont="1" applyFill="1" applyBorder="1" applyAlignment="1">
      <alignment horizontal="center" vertical="center" textRotation="90"/>
    </xf>
    <xf numFmtId="0" fontId="3" fillId="0" borderId="0" xfId="11" applyFont="1"/>
    <xf numFmtId="1" fontId="5" fillId="0" borderId="0" xfId="11" applyNumberFormat="1" applyFont="1" applyAlignment="1">
      <alignment horizontal="center"/>
    </xf>
    <xf numFmtId="165" fontId="5" fillId="0" borderId="3" xfId="11" applyNumberFormat="1" applyFont="1" applyBorder="1"/>
    <xf numFmtId="165" fontId="1" fillId="0" borderId="3" xfId="11" applyNumberFormat="1" applyBorder="1"/>
    <xf numFmtId="1" fontId="0" fillId="0" borderId="0" xfId="0" applyNumberFormat="1" applyAlignment="1">
      <alignment horizontal="center"/>
    </xf>
    <xf numFmtId="1" fontId="1" fillId="0" borderId="0" xfId="12" applyNumberFormat="1" applyFont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0" xfId="0" applyNumberFormat="1"/>
    <xf numFmtId="168" fontId="8" fillId="0" borderId="0" xfId="12" applyNumberFormat="1" applyAlignment="1">
      <alignment horizontal="center"/>
    </xf>
    <xf numFmtId="167" fontId="0" fillId="0" borderId="0" xfId="0" applyNumberFormat="1"/>
    <xf numFmtId="167" fontId="9" fillId="2" borderId="1" xfId="11" applyNumberFormat="1" applyFont="1" applyFill="1" applyBorder="1" applyAlignment="1">
      <alignment horizontal="center" vertical="center" textRotation="90"/>
    </xf>
    <xf numFmtId="164" fontId="3" fillId="0" borderId="0" xfId="11" applyNumberFormat="1" applyFont="1" applyAlignment="1">
      <alignment horizontal="center"/>
    </xf>
    <xf numFmtId="165" fontId="5" fillId="0" borderId="3" xfId="11" applyNumberFormat="1" applyFont="1" applyBorder="1" applyAlignment="1">
      <alignment horizontal="left"/>
    </xf>
    <xf numFmtId="2" fontId="5" fillId="0" borderId="0" xfId="11" applyNumberFormat="1" applyFont="1"/>
    <xf numFmtId="164" fontId="2" fillId="0" borderId="0" xfId="1" applyNumberFormat="1" applyFont="1" applyAlignment="1">
      <alignment horizontal="left"/>
    </xf>
    <xf numFmtId="167" fontId="2" fillId="0" borderId="0" xfId="1" applyNumberFormat="1" applyFont="1" applyAlignment="1">
      <alignment horizontal="left"/>
    </xf>
    <xf numFmtId="1" fontId="2" fillId="0" borderId="0" xfId="1" applyNumberFormat="1" applyFont="1" applyAlignment="1">
      <alignment horizontal="center"/>
    </xf>
    <xf numFmtId="0" fontId="1" fillId="0" borderId="0" xfId="1" applyFont="1" applyAlignment="1">
      <alignment horizontal="center"/>
    </xf>
    <xf numFmtId="0" fontId="6" fillId="0" borderId="0" xfId="1" applyAlignment="1">
      <alignment horizontal="center"/>
    </xf>
    <xf numFmtId="2" fontId="6" fillId="0" borderId="0" xfId="1" applyNumberFormat="1" applyAlignment="1">
      <alignment horizontal="center"/>
    </xf>
    <xf numFmtId="0" fontId="6" fillId="0" borderId="0" xfId="1"/>
    <xf numFmtId="164" fontId="10" fillId="0" borderId="0" xfId="1" applyNumberFormat="1" applyFont="1" applyAlignment="1">
      <alignment horizontal="left"/>
    </xf>
    <xf numFmtId="167" fontId="10" fillId="0" borderId="0" xfId="1" applyNumberFormat="1" applyFont="1" applyAlignment="1">
      <alignment horizontal="left"/>
    </xf>
    <xf numFmtId="1" fontId="10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left"/>
    </xf>
    <xf numFmtId="167" fontId="5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center"/>
    </xf>
    <xf numFmtId="169" fontId="5" fillId="0" borderId="0" xfId="1" applyNumberFormat="1" applyFont="1" applyAlignment="1">
      <alignment horizontal="center"/>
    </xf>
    <xf numFmtId="170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164" fontId="11" fillId="2" borderId="2" xfId="1" applyNumberFormat="1" applyFont="1" applyFill="1" applyBorder="1" applyAlignment="1">
      <alignment horizontal="center" vertical="center" textRotation="90"/>
    </xf>
    <xf numFmtId="167" fontId="11" fillId="2" borderId="2" xfId="1" applyNumberFormat="1" applyFont="1" applyFill="1" applyBorder="1" applyAlignment="1">
      <alignment horizontal="center" vertical="center" textRotation="90"/>
    </xf>
    <xf numFmtId="164" fontId="6" fillId="0" borderId="0" xfId="1" applyNumberFormat="1" applyAlignment="1">
      <alignment horizontal="center"/>
    </xf>
    <xf numFmtId="167" fontId="6" fillId="0" borderId="0" xfId="1" applyNumberFormat="1"/>
    <xf numFmtId="1" fontId="6" fillId="0" borderId="0" xfId="1" applyNumberFormat="1" applyAlignment="1">
      <alignment horizontal="center"/>
    </xf>
    <xf numFmtId="164" fontId="6" fillId="0" borderId="0" xfId="1" applyNumberFormat="1"/>
    <xf numFmtId="167" fontId="1" fillId="0" borderId="0" xfId="1" applyNumberFormat="1" applyFont="1" applyAlignment="1">
      <alignment horizontal="center"/>
    </xf>
    <xf numFmtId="168" fontId="6" fillId="0" borderId="0" xfId="1" applyNumberFormat="1" applyAlignment="1">
      <alignment horizontal="center"/>
    </xf>
    <xf numFmtId="167" fontId="3" fillId="0" borderId="0" xfId="1" applyNumberFormat="1" applyFont="1" applyAlignment="1">
      <alignment horizontal="center"/>
    </xf>
    <xf numFmtId="167" fontId="6" fillId="0" borderId="0" xfId="1" applyNumberFormat="1" applyAlignment="1">
      <alignment horizontal="center"/>
    </xf>
    <xf numFmtId="0" fontId="2" fillId="0" borderId="0" xfId="1" applyFont="1" applyAlignment="1">
      <alignment horizontal="left"/>
    </xf>
    <xf numFmtId="164" fontId="4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6" fillId="0" borderId="0" xfId="1" applyNumberFormat="1" applyAlignment="1">
      <alignment horizontal="left"/>
    </xf>
    <xf numFmtId="167" fontId="6" fillId="0" borderId="0" xfId="1" applyNumberFormat="1" applyAlignment="1">
      <alignment horizontal="left"/>
    </xf>
    <xf numFmtId="0" fontId="6" fillId="0" borderId="0" xfId="1" applyAlignment="1">
      <alignment horizontal="left"/>
    </xf>
    <xf numFmtId="164" fontId="2" fillId="0" borderId="0" xfId="1" applyNumberFormat="1" applyFont="1"/>
    <xf numFmtId="167" fontId="0" fillId="0" borderId="0" xfId="0" applyNumberFormat="1" applyAlignment="1">
      <alignment horizontal="center"/>
    </xf>
    <xf numFmtId="165" fontId="5" fillId="0" borderId="3" xfId="11" applyNumberFormat="1" applyFont="1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 applyAlignment="1">
      <alignment horizontal="center"/>
    </xf>
    <xf numFmtId="164" fontId="2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167" fontId="10" fillId="0" borderId="0" xfId="1" applyNumberFormat="1" applyFont="1" applyAlignment="1">
      <alignment horizontal="center"/>
    </xf>
    <xf numFmtId="1" fontId="1" fillId="0" borderId="0" xfId="1" applyNumberFormat="1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14" fillId="0" borderId="2" xfId="1" applyNumberFormat="1" applyFont="1" applyBorder="1" applyAlignment="1">
      <alignment horizontal="center"/>
    </xf>
    <xf numFmtId="167" fontId="14" fillId="0" borderId="2" xfId="1" applyNumberFormat="1" applyFont="1" applyBorder="1" applyAlignment="1">
      <alignment horizontal="center"/>
    </xf>
    <xf numFmtId="1" fontId="14" fillId="0" borderId="2" xfId="1" applyNumberFormat="1" applyFont="1" applyBorder="1" applyAlignment="1">
      <alignment horizontal="center"/>
    </xf>
    <xf numFmtId="166" fontId="13" fillId="0" borderId="2" xfId="0" applyNumberFormat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2" fontId="14" fillId="0" borderId="2" xfId="1" applyNumberFormat="1" applyFont="1" applyBorder="1" applyAlignment="1">
      <alignment horizontal="center"/>
    </xf>
    <xf numFmtId="0" fontId="14" fillId="0" borderId="0" xfId="12" applyFont="1"/>
    <xf numFmtId="167" fontId="8" fillId="0" borderId="0" xfId="12" applyNumberFormat="1"/>
    <xf numFmtId="166" fontId="14" fillId="0" borderId="2" xfId="1" applyNumberFormat="1" applyFont="1" applyBorder="1" applyAlignment="1">
      <alignment horizontal="center"/>
    </xf>
    <xf numFmtId="164" fontId="4" fillId="0" borderId="0" xfId="11" applyNumberFormat="1" applyFont="1" applyAlignment="1">
      <alignment horizontal="center"/>
    </xf>
    <xf numFmtId="164" fontId="5" fillId="0" borderId="3" xfId="11" applyNumberFormat="1" applyFont="1" applyBorder="1" applyAlignment="1">
      <alignment horizontal="center"/>
    </xf>
    <xf numFmtId="164" fontId="11" fillId="2" borderId="1" xfId="11" applyNumberFormat="1" applyFont="1" applyFill="1" applyBorder="1" applyAlignment="1">
      <alignment horizontal="center" vertical="center" textRotation="90"/>
    </xf>
    <xf numFmtId="2" fontId="2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center"/>
    </xf>
    <xf numFmtId="2" fontId="3" fillId="0" borderId="0" xfId="11" applyNumberFormat="1" applyFont="1" applyAlignment="1">
      <alignment horizontal="center"/>
    </xf>
    <xf numFmtId="20" fontId="15" fillId="0" borderId="0" xfId="1" applyNumberFormat="1" applyFont="1" applyAlignment="1">
      <alignment horizontal="center"/>
    </xf>
    <xf numFmtId="164" fontId="15" fillId="0" borderId="0" xfId="1" applyNumberFormat="1" applyFont="1" applyAlignment="1">
      <alignment horizontal="left"/>
    </xf>
    <xf numFmtId="164" fontId="15" fillId="0" borderId="0" xfId="1" applyNumberFormat="1" applyFont="1" applyAlignment="1">
      <alignment horizontal="center"/>
    </xf>
    <xf numFmtId="170" fontId="15" fillId="0" borderId="0" xfId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left"/>
    </xf>
    <xf numFmtId="167" fontId="11" fillId="2" borderId="1" xfId="11" applyNumberFormat="1" applyFont="1" applyFill="1" applyBorder="1" applyAlignment="1">
      <alignment horizontal="center" vertical="center" textRotation="90"/>
    </xf>
    <xf numFmtId="0" fontId="5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 vertical="center" textRotation="90"/>
    </xf>
    <xf numFmtId="1" fontId="11" fillId="2" borderId="2" xfId="1" applyNumberFormat="1" applyFont="1" applyFill="1" applyBorder="1" applyAlignment="1">
      <alignment horizontal="center" vertical="center" textRotation="90"/>
    </xf>
    <xf numFmtId="2" fontId="11" fillId="2" borderId="2" xfId="1" applyNumberFormat="1" applyFont="1" applyFill="1" applyBorder="1" applyAlignment="1">
      <alignment horizontal="center" vertical="center" textRotation="90"/>
    </xf>
    <xf numFmtId="2" fontId="5" fillId="0" borderId="3" xfId="11" applyNumberFormat="1" applyFont="1" applyBorder="1"/>
    <xf numFmtId="2" fontId="11" fillId="2" borderId="1" xfId="11" applyNumberFormat="1" applyFont="1" applyFill="1" applyBorder="1" applyAlignment="1">
      <alignment horizontal="center" vertical="center" textRotation="90"/>
    </xf>
    <xf numFmtId="2" fontId="1" fillId="0" borderId="0" xfId="1" applyNumberFormat="1" applyFont="1" applyAlignment="1">
      <alignment horizontal="center"/>
    </xf>
    <xf numFmtId="2" fontId="9" fillId="2" borderId="1" xfId="11" applyNumberFormat="1" applyFont="1" applyFill="1" applyBorder="1" applyAlignment="1">
      <alignment horizontal="center" vertical="center" textRotation="90"/>
    </xf>
    <xf numFmtId="2" fontId="4" fillId="0" borderId="0" xfId="12" applyNumberFormat="1" applyFont="1" applyAlignment="1">
      <alignment horizontal="center"/>
    </xf>
    <xf numFmtId="167" fontId="14" fillId="0" borderId="5" xfId="1" applyNumberFormat="1" applyFont="1" applyBorder="1" applyAlignment="1">
      <alignment horizontal="center"/>
    </xf>
    <xf numFmtId="171" fontId="0" fillId="0" borderId="0" xfId="0" applyNumberFormat="1"/>
    <xf numFmtId="171" fontId="9" fillId="2" borderId="1" xfId="11" applyNumberFormat="1" applyFont="1" applyFill="1" applyBorder="1" applyAlignment="1">
      <alignment horizontal="center" vertical="center" textRotation="90"/>
    </xf>
    <xf numFmtId="171" fontId="6" fillId="0" borderId="0" xfId="1" applyNumberFormat="1" applyAlignment="1">
      <alignment horizontal="center"/>
    </xf>
    <xf numFmtId="171" fontId="11" fillId="2" borderId="2" xfId="1" applyNumberFormat="1" applyFont="1" applyFill="1" applyBorder="1" applyAlignment="1">
      <alignment horizontal="center" vertical="center" textRotation="90"/>
    </xf>
    <xf numFmtId="171" fontId="14" fillId="0" borderId="2" xfId="1" applyNumberFormat="1" applyFont="1" applyBorder="1" applyAlignment="1">
      <alignment horizontal="center"/>
    </xf>
    <xf numFmtId="171" fontId="8" fillId="0" borderId="0" xfId="12" applyNumberFormat="1"/>
    <xf numFmtId="171" fontId="6" fillId="0" borderId="0" xfId="1" applyNumberFormat="1"/>
    <xf numFmtId="171" fontId="0" fillId="0" borderId="0" xfId="0" applyNumberFormat="1" applyAlignment="1">
      <alignment horizontal="center"/>
    </xf>
    <xf numFmtId="164" fontId="16" fillId="0" borderId="2" xfId="1" applyNumberFormat="1" applyFont="1" applyBorder="1" applyAlignment="1">
      <alignment horizontal="center"/>
    </xf>
    <xf numFmtId="1" fontId="16" fillId="0" borderId="2" xfId="1" applyNumberFormat="1" applyFont="1" applyBorder="1" applyAlignment="1">
      <alignment horizontal="center"/>
    </xf>
    <xf numFmtId="2" fontId="16" fillId="0" borderId="2" xfId="1" applyNumberFormat="1" applyFont="1" applyBorder="1" applyAlignment="1">
      <alignment horizontal="center"/>
    </xf>
    <xf numFmtId="166" fontId="16" fillId="0" borderId="2" xfId="1" applyNumberFormat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168" fontId="16" fillId="0" borderId="2" xfId="1" applyNumberFormat="1" applyFont="1" applyBorder="1" applyAlignment="1">
      <alignment horizontal="center"/>
    </xf>
    <xf numFmtId="167" fontId="16" fillId="0" borderId="2" xfId="1" applyNumberFormat="1" applyFont="1" applyBorder="1" applyAlignment="1">
      <alignment horizontal="center"/>
    </xf>
    <xf numFmtId="171" fontId="16" fillId="0" borderId="2" xfId="1" applyNumberFormat="1" applyFont="1" applyBorder="1" applyAlignment="1">
      <alignment horizontal="center"/>
    </xf>
    <xf numFmtId="0" fontId="17" fillId="0" borderId="0" xfId="1" applyFont="1"/>
    <xf numFmtId="164" fontId="14" fillId="0" borderId="2" xfId="12" applyNumberFormat="1" applyFont="1" applyBorder="1" applyAlignment="1">
      <alignment horizontal="right"/>
    </xf>
    <xf numFmtId="1" fontId="14" fillId="0" borderId="2" xfId="12" applyNumberFormat="1" applyFont="1" applyBorder="1" applyAlignment="1">
      <alignment horizontal="center"/>
    </xf>
    <xf numFmtId="164" fontId="14" fillId="0" borderId="2" xfId="12" applyNumberFormat="1" applyFont="1" applyBorder="1" applyAlignment="1">
      <alignment horizontal="center"/>
    </xf>
    <xf numFmtId="2" fontId="14" fillId="0" borderId="2" xfId="12" applyNumberFormat="1" applyFont="1" applyBorder="1" applyAlignment="1">
      <alignment horizontal="center"/>
    </xf>
    <xf numFmtId="166" fontId="14" fillId="0" borderId="2" xfId="12" applyNumberFormat="1" applyFont="1" applyBorder="1" applyAlignment="1">
      <alignment horizontal="center"/>
    </xf>
    <xf numFmtId="167" fontId="14" fillId="0" borderId="2" xfId="12" applyNumberFormat="1" applyFont="1" applyBorder="1" applyAlignment="1">
      <alignment horizontal="center"/>
    </xf>
    <xf numFmtId="0" fontId="14" fillId="0" borderId="2" xfId="12" applyFont="1" applyBorder="1" applyAlignment="1">
      <alignment horizontal="center"/>
    </xf>
    <xf numFmtId="168" fontId="14" fillId="0" borderId="2" xfId="12" applyNumberFormat="1" applyFont="1" applyBorder="1" applyAlignment="1">
      <alignment horizontal="center"/>
    </xf>
    <xf numFmtId="1" fontId="14" fillId="0" borderId="2" xfId="12" applyNumberFormat="1" applyFont="1" applyBorder="1"/>
    <xf numFmtId="0" fontId="18" fillId="0" borderId="0" xfId="0" applyFont="1" applyAlignment="1">
      <alignment horizontal="center"/>
    </xf>
    <xf numFmtId="171" fontId="9" fillId="2" borderId="1" xfId="11" applyNumberFormat="1" applyFont="1" applyFill="1" applyBorder="1" applyAlignment="1">
      <alignment horizontal="center" vertical="center" textRotation="90" wrapText="1"/>
    </xf>
    <xf numFmtId="167" fontId="9" fillId="2" borderId="1" xfId="11" applyNumberFormat="1" applyFont="1" applyFill="1" applyBorder="1" applyAlignment="1">
      <alignment horizontal="center" vertical="center" textRotation="90" wrapText="1"/>
    </xf>
    <xf numFmtId="1" fontId="1" fillId="0" borderId="0" xfId="11" applyNumberFormat="1"/>
    <xf numFmtId="168" fontId="1" fillId="0" borderId="0" xfId="11" applyNumberFormat="1"/>
    <xf numFmtId="0" fontId="5" fillId="0" borderId="0" xfId="11" applyFont="1" applyAlignment="1">
      <alignment horizontal="left"/>
    </xf>
    <xf numFmtId="49" fontId="1" fillId="0" borderId="0" xfId="11" applyNumberFormat="1"/>
    <xf numFmtId="1" fontId="9" fillId="2" borderId="1" xfId="11" applyNumberFormat="1" applyFont="1" applyFill="1" applyBorder="1" applyAlignment="1">
      <alignment horizontal="center" vertical="center" textRotation="90" wrapText="1"/>
    </xf>
    <xf numFmtId="164" fontId="5" fillId="0" borderId="3" xfId="11" applyNumberFormat="1" applyFont="1" applyBorder="1"/>
    <xf numFmtId="164" fontId="9" fillId="2" borderId="1" xfId="11" applyNumberFormat="1" applyFont="1" applyFill="1" applyBorder="1" applyAlignment="1">
      <alignment horizontal="center" vertical="center" textRotation="90" wrapText="1"/>
    </xf>
    <xf numFmtId="2" fontId="9" fillId="2" borderId="1" xfId="11" applyNumberFormat="1" applyFont="1" applyFill="1" applyBorder="1" applyAlignment="1">
      <alignment horizontal="center" vertical="center" textRotation="90" wrapText="1"/>
    </xf>
    <xf numFmtId="168" fontId="1" fillId="0" borderId="0" xfId="11" applyNumberFormat="1" applyAlignment="1">
      <alignment horizontal="center"/>
    </xf>
    <xf numFmtId="168" fontId="9" fillId="2" borderId="1" xfId="11" applyNumberFormat="1" applyFont="1" applyFill="1" applyBorder="1" applyAlignment="1">
      <alignment horizontal="center" vertical="center" textRotation="90" wrapText="1"/>
    </xf>
    <xf numFmtId="0" fontId="0" fillId="0" borderId="2" xfId="0" applyBorder="1"/>
    <xf numFmtId="1" fontId="11" fillId="2" borderId="1" xfId="11" applyNumberFormat="1" applyFont="1" applyFill="1" applyBorder="1" applyAlignment="1">
      <alignment horizontal="center" vertical="center" textRotation="90"/>
    </xf>
    <xf numFmtId="1" fontId="2" fillId="0" borderId="0" xfId="11" applyNumberFormat="1" applyFont="1" applyAlignment="1">
      <alignment horizontal="center"/>
    </xf>
    <xf numFmtId="1" fontId="3" fillId="0" borderId="0" xfId="1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" fontId="9" fillId="2" borderId="1" xfId="11" applyNumberFormat="1" applyFont="1" applyFill="1" applyBorder="1" applyAlignment="1">
      <alignment horizontal="center" vertical="center" textRotation="90"/>
    </xf>
    <xf numFmtId="164" fontId="1" fillId="0" borderId="0" xfId="12" applyNumberFormat="1" applyFont="1" applyAlignment="1">
      <alignment horizontal="center"/>
    </xf>
    <xf numFmtId="164" fontId="8" fillId="0" borderId="0" xfId="12" applyNumberFormat="1" applyAlignment="1">
      <alignment horizontal="center"/>
    </xf>
    <xf numFmtId="164" fontId="4" fillId="0" borderId="0" xfId="12" applyNumberFormat="1" applyFont="1" applyAlignment="1">
      <alignment horizontal="center"/>
    </xf>
    <xf numFmtId="168" fontId="9" fillId="2" borderId="1" xfId="11" applyNumberFormat="1" applyFont="1" applyFill="1" applyBorder="1" applyAlignment="1">
      <alignment horizontal="center" vertical="center" textRotation="90"/>
    </xf>
    <xf numFmtId="1" fontId="2" fillId="0" borderId="0" xfId="1" applyNumberFormat="1" applyFont="1" applyAlignment="1">
      <alignment horizontal="left"/>
    </xf>
    <xf numFmtId="1" fontId="10" fillId="0" borderId="0" xfId="1" applyNumberFormat="1" applyFont="1" applyAlignment="1">
      <alignment horizontal="left"/>
    </xf>
    <xf numFmtId="1" fontId="6" fillId="0" borderId="0" xfId="1" applyNumberFormat="1" applyAlignment="1">
      <alignment horizontal="left"/>
    </xf>
    <xf numFmtId="1" fontId="5" fillId="0" borderId="0" xfId="1" applyNumberFormat="1" applyFont="1" applyAlignment="1">
      <alignment horizontal="left"/>
    </xf>
    <xf numFmtId="1" fontId="6" fillId="0" borderId="0" xfId="1" applyNumberFormat="1"/>
    <xf numFmtId="171" fontId="0" fillId="0" borderId="2" xfId="0" applyNumberFormat="1" applyBorder="1" applyAlignment="1">
      <alignment horizontal="right"/>
    </xf>
    <xf numFmtId="168" fontId="14" fillId="0" borderId="2" xfId="1" applyNumberFormat="1" applyFont="1" applyBorder="1" applyAlignment="1">
      <alignment horizontal="center"/>
    </xf>
    <xf numFmtId="171" fontId="19" fillId="0" borderId="2" xfId="1" applyNumberFormat="1" applyFont="1" applyBorder="1" applyAlignment="1">
      <alignment horizontal="right"/>
    </xf>
    <xf numFmtId="164" fontId="19" fillId="0" borderId="2" xfId="1" applyNumberFormat="1" applyFont="1" applyBorder="1"/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3" fillId="0" borderId="0" xfId="11" applyFont="1" applyAlignment="1">
      <alignment horizontal="left"/>
    </xf>
    <xf numFmtId="0" fontId="1" fillId="0" borderId="0" xfId="11"/>
    <xf numFmtId="164" fontId="5" fillId="0" borderId="0" xfId="11" applyNumberFormat="1" applyFont="1" applyAlignment="1">
      <alignment horizontal="left"/>
    </xf>
    <xf numFmtId="164" fontId="1" fillId="0" borderId="0" xfId="11" applyNumberFormat="1"/>
  </cellXfs>
  <cellStyles count="150">
    <cellStyle name="Normal 10" xfId="13" xr:uid="{00000000-0005-0000-0000-000001000000}"/>
    <cellStyle name="Normal 2" xfId="1" xr:uid="{00000000-0005-0000-0000-000002000000}"/>
    <cellStyle name="Normal 2 2" xfId="14" xr:uid="{00000000-0005-0000-0000-000003000000}"/>
    <cellStyle name="Normal 2 2 2" xfId="15" xr:uid="{00000000-0005-0000-0000-000004000000}"/>
    <cellStyle name="Normal 2 2 3" xfId="16" xr:uid="{00000000-0005-0000-0000-000005000000}"/>
    <cellStyle name="Normal 2 2 4" xfId="17" xr:uid="{00000000-0005-0000-0000-000006000000}"/>
    <cellStyle name="Normal 2 2 5" xfId="18" xr:uid="{00000000-0005-0000-0000-000007000000}"/>
    <cellStyle name="Normal 2 3" xfId="19" xr:uid="{00000000-0005-0000-0000-000008000000}"/>
    <cellStyle name="Normal 2 3 2" xfId="20" xr:uid="{00000000-0005-0000-0000-000009000000}"/>
    <cellStyle name="Normal 2 3 2 2" xfId="21" xr:uid="{00000000-0005-0000-0000-00000A000000}"/>
    <cellStyle name="Normal 2 3 3" xfId="22" xr:uid="{00000000-0005-0000-0000-00000B000000}"/>
    <cellStyle name="Normal 2 3 3 2" xfId="23" xr:uid="{00000000-0005-0000-0000-00000C000000}"/>
    <cellStyle name="Normal 2 3 4" xfId="24" xr:uid="{00000000-0005-0000-0000-00000D000000}"/>
    <cellStyle name="Normal 2 3 4 2" xfId="25" xr:uid="{00000000-0005-0000-0000-00000E000000}"/>
    <cellStyle name="Normal 2 3 5" xfId="26" xr:uid="{00000000-0005-0000-0000-00000F000000}"/>
    <cellStyle name="Normal 2 4" xfId="27" xr:uid="{00000000-0005-0000-0000-000010000000}"/>
    <cellStyle name="Normal 2 4 2" xfId="28" xr:uid="{00000000-0005-0000-0000-000011000000}"/>
    <cellStyle name="Normal 2 4 2 2" xfId="29" xr:uid="{00000000-0005-0000-0000-000012000000}"/>
    <cellStyle name="Normal 2 4 3" xfId="30" xr:uid="{00000000-0005-0000-0000-000013000000}"/>
    <cellStyle name="Normal 2 4 3 2" xfId="31" xr:uid="{00000000-0005-0000-0000-000014000000}"/>
    <cellStyle name="Normal 2 4 4" xfId="32" xr:uid="{00000000-0005-0000-0000-000015000000}"/>
    <cellStyle name="Normal 2 5" xfId="33" xr:uid="{00000000-0005-0000-0000-000016000000}"/>
    <cellStyle name="Normal 3" xfId="2" xr:uid="{00000000-0005-0000-0000-000017000000}"/>
    <cellStyle name="Normal 3 2" xfId="3" xr:uid="{00000000-0005-0000-0000-000018000000}"/>
    <cellStyle name="Normal 3 2 2" xfId="4" xr:uid="{00000000-0005-0000-0000-000019000000}"/>
    <cellStyle name="Normal 3 2 2 2" xfId="5" xr:uid="{00000000-0005-0000-0000-00001A000000}"/>
    <cellStyle name="Normal 3 2 3" xfId="6" xr:uid="{00000000-0005-0000-0000-00001B000000}"/>
    <cellStyle name="Normal 3 2 3 2" xfId="34" xr:uid="{00000000-0005-0000-0000-00001C000000}"/>
    <cellStyle name="Normal 3 2 4" xfId="35" xr:uid="{00000000-0005-0000-0000-00001D000000}"/>
    <cellStyle name="Normal 3 2 4 2" xfId="36" xr:uid="{00000000-0005-0000-0000-00001E000000}"/>
    <cellStyle name="Normal 3 2 5" xfId="37" xr:uid="{00000000-0005-0000-0000-00001F000000}"/>
    <cellStyle name="Normal 3 3" xfId="7" xr:uid="{00000000-0005-0000-0000-000020000000}"/>
    <cellStyle name="Normal 3 3 2" xfId="8" xr:uid="{00000000-0005-0000-0000-000021000000}"/>
    <cellStyle name="Normal 3 3 2 2" xfId="38" xr:uid="{00000000-0005-0000-0000-000022000000}"/>
    <cellStyle name="Normal 3 3 3" xfId="39" xr:uid="{00000000-0005-0000-0000-000023000000}"/>
    <cellStyle name="Normal 3 3 3 2" xfId="40" xr:uid="{00000000-0005-0000-0000-000024000000}"/>
    <cellStyle name="Normal 3 3 4" xfId="41" xr:uid="{00000000-0005-0000-0000-000025000000}"/>
    <cellStyle name="Normal 3 3 4 2" xfId="42" xr:uid="{00000000-0005-0000-0000-000026000000}"/>
    <cellStyle name="Normal 3 3 5" xfId="43" xr:uid="{00000000-0005-0000-0000-000027000000}"/>
    <cellStyle name="Normal 3 4" xfId="9" xr:uid="{00000000-0005-0000-0000-000028000000}"/>
    <cellStyle name="Normal 3 5" xfId="44" xr:uid="{00000000-0005-0000-0000-000029000000}"/>
    <cellStyle name="Normal 3 5 2" xfId="45" xr:uid="{00000000-0005-0000-0000-00002A000000}"/>
    <cellStyle name="Normal 3 6" xfId="46" xr:uid="{00000000-0005-0000-0000-00002B000000}"/>
    <cellStyle name="Normal 3 6 2" xfId="47" xr:uid="{00000000-0005-0000-0000-00002C000000}"/>
    <cellStyle name="Normal 3 7" xfId="48" xr:uid="{00000000-0005-0000-0000-00002D000000}"/>
    <cellStyle name="Normal 3 7 2" xfId="49" xr:uid="{00000000-0005-0000-0000-00002E000000}"/>
    <cellStyle name="Normal 3 8" xfId="50" xr:uid="{00000000-0005-0000-0000-00002F000000}"/>
    <cellStyle name="Normal 4" xfId="10" xr:uid="{00000000-0005-0000-0000-000030000000}"/>
    <cellStyle name="Normal 4 2" xfId="51" xr:uid="{00000000-0005-0000-0000-000031000000}"/>
    <cellStyle name="Normal 5" xfId="11" xr:uid="{00000000-0005-0000-0000-000032000000}"/>
    <cellStyle name="Normal 5 2" xfId="52" xr:uid="{00000000-0005-0000-0000-000033000000}"/>
    <cellStyle name="Normal 5 3" xfId="53" xr:uid="{00000000-0005-0000-0000-000034000000}"/>
    <cellStyle name="Normal 6" xfId="12" xr:uid="{00000000-0005-0000-0000-000035000000}"/>
    <cellStyle name="Normal 6 2" xfId="54" xr:uid="{00000000-0005-0000-0000-000036000000}"/>
    <cellStyle name="Normal 6 2 2" xfId="55" xr:uid="{00000000-0005-0000-0000-000037000000}"/>
    <cellStyle name="Normal 6 2 2 2" xfId="56" xr:uid="{00000000-0005-0000-0000-000038000000}"/>
    <cellStyle name="Normal 6 2 3" xfId="57" xr:uid="{00000000-0005-0000-0000-000039000000}"/>
    <cellStyle name="Normal 6 2 3 2" xfId="58" xr:uid="{00000000-0005-0000-0000-00003A000000}"/>
    <cellStyle name="Normal 6 2 4" xfId="59" xr:uid="{00000000-0005-0000-0000-00003B000000}"/>
    <cellStyle name="Normal 6 3" xfId="60" xr:uid="{00000000-0005-0000-0000-00003C000000}"/>
    <cellStyle name="Normal 6 3 2" xfId="61" xr:uid="{00000000-0005-0000-0000-00003D000000}"/>
    <cellStyle name="Normal 6 4" xfId="62" xr:uid="{00000000-0005-0000-0000-00003E000000}"/>
    <cellStyle name="Normal 7" xfId="63" xr:uid="{00000000-0005-0000-0000-00003F000000}"/>
    <cellStyle name="Normal 7 2" xfId="64" xr:uid="{00000000-0005-0000-0000-000040000000}"/>
    <cellStyle name="Normal 7 2 2" xfId="65" xr:uid="{00000000-0005-0000-0000-000041000000}"/>
    <cellStyle name="Normal 8" xfId="66" xr:uid="{00000000-0005-0000-0000-000042000000}"/>
    <cellStyle name="Normal 8 10" xfId="67" xr:uid="{00000000-0005-0000-0000-000043000000}"/>
    <cellStyle name="Normal 8 11" xfId="68" xr:uid="{00000000-0005-0000-0000-000044000000}"/>
    <cellStyle name="Normal 8 2" xfId="69" xr:uid="{00000000-0005-0000-0000-000045000000}"/>
    <cellStyle name="Normal 8 2 2" xfId="70" xr:uid="{00000000-0005-0000-0000-000046000000}"/>
    <cellStyle name="Normal 8 2 2 2" xfId="71" xr:uid="{00000000-0005-0000-0000-000047000000}"/>
    <cellStyle name="Normal 8 2 2 2 2" xfId="72" xr:uid="{00000000-0005-0000-0000-000048000000}"/>
    <cellStyle name="Normal 8 2 2 3" xfId="73" xr:uid="{00000000-0005-0000-0000-000049000000}"/>
    <cellStyle name="Normal 8 2 2 3 2" xfId="74" xr:uid="{00000000-0005-0000-0000-00004A000000}"/>
    <cellStyle name="Normal 8 2 2 4" xfId="75" xr:uid="{00000000-0005-0000-0000-00004B000000}"/>
    <cellStyle name="Normal 8 2 2 4 2" xfId="76" xr:uid="{00000000-0005-0000-0000-00004C000000}"/>
    <cellStyle name="Normal 8 2 2 5" xfId="77" xr:uid="{00000000-0005-0000-0000-00004D000000}"/>
    <cellStyle name="Normal 8 2 3" xfId="78" xr:uid="{00000000-0005-0000-0000-00004E000000}"/>
    <cellStyle name="Normal 8 2 3 2" xfId="79" xr:uid="{00000000-0005-0000-0000-00004F000000}"/>
    <cellStyle name="Normal 8 2 3 2 2" xfId="80" xr:uid="{00000000-0005-0000-0000-000050000000}"/>
    <cellStyle name="Normal 8 2 3 3" xfId="81" xr:uid="{00000000-0005-0000-0000-000051000000}"/>
    <cellStyle name="Normal 8 2 3 3 2" xfId="82" xr:uid="{00000000-0005-0000-0000-000052000000}"/>
    <cellStyle name="Normal 8 2 3 4" xfId="83" xr:uid="{00000000-0005-0000-0000-000053000000}"/>
    <cellStyle name="Normal 8 2 3 4 2" xfId="84" xr:uid="{00000000-0005-0000-0000-000054000000}"/>
    <cellStyle name="Normal 8 2 3 5" xfId="85" xr:uid="{00000000-0005-0000-0000-000055000000}"/>
    <cellStyle name="Normal 8 2 4" xfId="86" xr:uid="{00000000-0005-0000-0000-000056000000}"/>
    <cellStyle name="Normal 8 2 4 2" xfId="87" xr:uid="{00000000-0005-0000-0000-000057000000}"/>
    <cellStyle name="Normal 8 2 5" xfId="88" xr:uid="{00000000-0005-0000-0000-000058000000}"/>
    <cellStyle name="Normal 8 2 5 2" xfId="89" xr:uid="{00000000-0005-0000-0000-000059000000}"/>
    <cellStyle name="Normal 8 2 6" xfId="90" xr:uid="{00000000-0005-0000-0000-00005A000000}"/>
    <cellStyle name="Normal 8 2 6 2" xfId="91" xr:uid="{00000000-0005-0000-0000-00005B000000}"/>
    <cellStyle name="Normal 8 2 7" xfId="92" xr:uid="{00000000-0005-0000-0000-00005C000000}"/>
    <cellStyle name="Normal 8 3" xfId="93" xr:uid="{00000000-0005-0000-0000-00005D000000}"/>
    <cellStyle name="Normal 8 3 2" xfId="94" xr:uid="{00000000-0005-0000-0000-00005E000000}"/>
    <cellStyle name="Normal 8 3 2 2" xfId="95" xr:uid="{00000000-0005-0000-0000-00005F000000}"/>
    <cellStyle name="Normal 8 3 2 2 2" xfId="96" xr:uid="{00000000-0005-0000-0000-000060000000}"/>
    <cellStyle name="Normal 8 3 2 3" xfId="97" xr:uid="{00000000-0005-0000-0000-000061000000}"/>
    <cellStyle name="Normal 8 3 2 3 2" xfId="98" xr:uid="{00000000-0005-0000-0000-000062000000}"/>
    <cellStyle name="Normal 8 3 2 4" xfId="99" xr:uid="{00000000-0005-0000-0000-000063000000}"/>
    <cellStyle name="Normal 8 3 2 4 2" xfId="100" xr:uid="{00000000-0005-0000-0000-000064000000}"/>
    <cellStyle name="Normal 8 3 2 5" xfId="101" xr:uid="{00000000-0005-0000-0000-000065000000}"/>
    <cellStyle name="Normal 8 3 3" xfId="102" xr:uid="{00000000-0005-0000-0000-000066000000}"/>
    <cellStyle name="Normal 8 3 3 2" xfId="103" xr:uid="{00000000-0005-0000-0000-000067000000}"/>
    <cellStyle name="Normal 8 3 3 2 2" xfId="104" xr:uid="{00000000-0005-0000-0000-000068000000}"/>
    <cellStyle name="Normal 8 3 3 3" xfId="105" xr:uid="{00000000-0005-0000-0000-000069000000}"/>
    <cellStyle name="Normal 8 3 3 3 2" xfId="106" xr:uid="{00000000-0005-0000-0000-00006A000000}"/>
    <cellStyle name="Normal 8 3 3 4" xfId="107" xr:uid="{00000000-0005-0000-0000-00006B000000}"/>
    <cellStyle name="Normal 8 3 3 4 2" xfId="108" xr:uid="{00000000-0005-0000-0000-00006C000000}"/>
    <cellStyle name="Normal 8 3 3 5" xfId="109" xr:uid="{00000000-0005-0000-0000-00006D000000}"/>
    <cellStyle name="Normal 8 3 4" xfId="110" xr:uid="{00000000-0005-0000-0000-00006E000000}"/>
    <cellStyle name="Normal 8 3 4 2" xfId="111" xr:uid="{00000000-0005-0000-0000-00006F000000}"/>
    <cellStyle name="Normal 8 3 5" xfId="112" xr:uid="{00000000-0005-0000-0000-000070000000}"/>
    <cellStyle name="Normal 8 3 5 2" xfId="113" xr:uid="{00000000-0005-0000-0000-000071000000}"/>
    <cellStyle name="Normal 8 3 6" xfId="114" xr:uid="{00000000-0005-0000-0000-000072000000}"/>
    <cellStyle name="Normal 8 3 6 2" xfId="115" xr:uid="{00000000-0005-0000-0000-000073000000}"/>
    <cellStyle name="Normal 8 3 7" xfId="116" xr:uid="{00000000-0005-0000-0000-000074000000}"/>
    <cellStyle name="Normal 8 3 8" xfId="117" xr:uid="{00000000-0005-0000-0000-000075000000}"/>
    <cellStyle name="Normal 8 4" xfId="118" xr:uid="{00000000-0005-0000-0000-000076000000}"/>
    <cellStyle name="Normal 8 4 2" xfId="119" xr:uid="{00000000-0005-0000-0000-000077000000}"/>
    <cellStyle name="Normal 8 4 2 2" xfId="120" xr:uid="{00000000-0005-0000-0000-000078000000}"/>
    <cellStyle name="Normal 8 4 3" xfId="121" xr:uid="{00000000-0005-0000-0000-000079000000}"/>
    <cellStyle name="Normal 8 4 3 2" xfId="122" xr:uid="{00000000-0005-0000-0000-00007A000000}"/>
    <cellStyle name="Normal 8 4 4" xfId="123" xr:uid="{00000000-0005-0000-0000-00007B000000}"/>
    <cellStyle name="Normal 8 4 4 2" xfId="124" xr:uid="{00000000-0005-0000-0000-00007C000000}"/>
    <cellStyle name="Normal 8 4 5" xfId="125" xr:uid="{00000000-0005-0000-0000-00007D000000}"/>
    <cellStyle name="Normal 8 5" xfId="126" xr:uid="{00000000-0005-0000-0000-00007E000000}"/>
    <cellStyle name="Normal 8 5 2" xfId="127" xr:uid="{00000000-0005-0000-0000-00007F000000}"/>
    <cellStyle name="Normal 8 5 2 2" xfId="128" xr:uid="{00000000-0005-0000-0000-000080000000}"/>
    <cellStyle name="Normal 8 5 3" xfId="129" xr:uid="{00000000-0005-0000-0000-000081000000}"/>
    <cellStyle name="Normal 8 5 3 2" xfId="130" xr:uid="{00000000-0005-0000-0000-000082000000}"/>
    <cellStyle name="Normal 8 5 4" xfId="131" xr:uid="{00000000-0005-0000-0000-000083000000}"/>
    <cellStyle name="Normal 8 5 4 2" xfId="132" xr:uid="{00000000-0005-0000-0000-000084000000}"/>
    <cellStyle name="Normal 8 5 5" xfId="133" xr:uid="{00000000-0005-0000-0000-000085000000}"/>
    <cellStyle name="Normal 8 6" xfId="134" xr:uid="{00000000-0005-0000-0000-000086000000}"/>
    <cellStyle name="Normal 8 6 2" xfId="135" xr:uid="{00000000-0005-0000-0000-000087000000}"/>
    <cellStyle name="Normal 8 6 2 2" xfId="136" xr:uid="{00000000-0005-0000-0000-000088000000}"/>
    <cellStyle name="Normal 8 6 3" xfId="137" xr:uid="{00000000-0005-0000-0000-000089000000}"/>
    <cellStyle name="Normal 8 6 3 2" xfId="138" xr:uid="{00000000-0005-0000-0000-00008A000000}"/>
    <cellStyle name="Normal 8 6 4" xfId="139" xr:uid="{00000000-0005-0000-0000-00008B000000}"/>
    <cellStyle name="Normal 8 6 4 2" xfId="140" xr:uid="{00000000-0005-0000-0000-00008C000000}"/>
    <cellStyle name="Normal 8 6 5" xfId="141" xr:uid="{00000000-0005-0000-0000-00008D000000}"/>
    <cellStyle name="Normal 8 7" xfId="142" xr:uid="{00000000-0005-0000-0000-00008E000000}"/>
    <cellStyle name="Normal 8 7 2" xfId="143" xr:uid="{00000000-0005-0000-0000-00008F000000}"/>
    <cellStyle name="Normal 8 8" xfId="144" xr:uid="{00000000-0005-0000-0000-000090000000}"/>
    <cellStyle name="Normal 8 8 2" xfId="145" xr:uid="{00000000-0005-0000-0000-000091000000}"/>
    <cellStyle name="Normal 8 9" xfId="146" xr:uid="{00000000-0005-0000-0000-000092000000}"/>
    <cellStyle name="Normal 8 9 2" xfId="147" xr:uid="{00000000-0005-0000-0000-000093000000}"/>
    <cellStyle name="Normal 9" xfId="148" xr:uid="{00000000-0005-0000-0000-000094000000}"/>
    <cellStyle name="Note 2" xfId="149" xr:uid="{00000000-0005-0000-0000-000095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zoomScaleNormal="100" workbookViewId="0">
      <selection activeCell="A13" sqref="A13"/>
    </sheetView>
  </sheetViews>
  <sheetFormatPr defaultRowHeight="14.4" x14ac:dyDescent="0.3"/>
  <cols>
    <col min="1" max="1" width="16.5546875" style="8" customWidth="1"/>
    <col min="2" max="2" width="6" style="33" bestFit="1" customWidth="1"/>
    <col min="3" max="3" width="13.88671875" style="8" bestFit="1" customWidth="1"/>
    <col min="4" max="4" width="5.5546875" style="15" bestFit="1" customWidth="1"/>
    <col min="5" max="5" width="7.33203125" style="8" bestFit="1" customWidth="1"/>
    <col min="6" max="6" width="24.33203125" bestFit="1" customWidth="1"/>
    <col min="7" max="7" width="20" bestFit="1" customWidth="1"/>
    <col min="8" max="8" width="38.6640625" bestFit="1" customWidth="1"/>
    <col min="9" max="9" width="5.5546875" style="17" bestFit="1" customWidth="1"/>
    <col min="10" max="10" width="5.5546875" bestFit="1" customWidth="1"/>
    <col min="11" max="11" width="6" bestFit="1" customWidth="1"/>
    <col min="12" max="12" width="5" bestFit="1" customWidth="1"/>
    <col min="13" max="14" width="3" bestFit="1" customWidth="1"/>
    <col min="15" max="15" width="4.5546875" style="15" bestFit="1" customWidth="1"/>
    <col min="16" max="16" width="5.5546875" style="15" bestFit="1" customWidth="1"/>
    <col min="17" max="17" width="3.33203125" style="33" bestFit="1" customWidth="1"/>
    <col min="18" max="19" width="3.5546875" style="43" bestFit="1" customWidth="1"/>
    <col min="20" max="23" width="4.5546875" style="15" bestFit="1" customWidth="1"/>
    <col min="24" max="24" width="4.44140625" style="33" bestFit="1" customWidth="1"/>
    <col min="25" max="25" width="4" style="33" customWidth="1"/>
    <col min="26" max="26" width="11.88671875" style="131" bestFit="1" customWidth="1"/>
    <col min="27" max="27" width="12" style="138" bestFit="1" customWidth="1"/>
    <col min="28" max="28" width="8.33203125" style="138" bestFit="1" customWidth="1"/>
    <col min="29" max="29" width="7.6640625" style="45" bestFit="1" customWidth="1"/>
  </cols>
  <sheetData>
    <row r="1" spans="1:29" ht="15.6" x14ac:dyDescent="0.3">
      <c r="A1" s="9" t="s">
        <v>69</v>
      </c>
      <c r="B1" s="160"/>
      <c r="C1" s="13"/>
      <c r="D1" s="4"/>
      <c r="E1" s="12"/>
      <c r="F1" s="1"/>
      <c r="G1" s="1"/>
      <c r="H1" s="1"/>
      <c r="I1" s="5"/>
      <c r="J1" s="1"/>
      <c r="K1" s="1"/>
      <c r="L1" s="1"/>
      <c r="M1" s="1"/>
      <c r="N1" s="1"/>
      <c r="O1" s="3"/>
      <c r="P1" s="3"/>
      <c r="Q1" s="160"/>
      <c r="R1" s="161"/>
      <c r="S1" s="161"/>
      <c r="T1" s="3"/>
      <c r="U1" s="3"/>
      <c r="V1" s="3"/>
    </row>
    <row r="2" spans="1:29" ht="15.6" x14ac:dyDescent="0.3">
      <c r="A2" s="9"/>
      <c r="B2" s="160"/>
      <c r="C2" s="13"/>
      <c r="D2" s="4"/>
      <c r="E2" s="12"/>
      <c r="F2" s="1"/>
      <c r="G2" s="1"/>
      <c r="H2" s="5"/>
      <c r="I2" s="5"/>
      <c r="J2" s="1"/>
      <c r="K2" s="1"/>
      <c r="L2" s="1"/>
      <c r="M2" s="1"/>
      <c r="N2" s="1"/>
      <c r="O2" s="3"/>
      <c r="P2" s="3"/>
      <c r="Q2" s="160"/>
      <c r="R2" s="161"/>
      <c r="S2" s="161"/>
      <c r="T2" s="3"/>
      <c r="U2" s="3"/>
      <c r="V2" s="3"/>
    </row>
    <row r="3" spans="1:29" x14ac:dyDescent="0.3">
      <c r="A3" s="36" t="s">
        <v>117</v>
      </c>
      <c r="B3" s="160"/>
      <c r="C3" s="1"/>
      <c r="D3" s="1"/>
      <c r="E3" s="12"/>
      <c r="F3" s="1"/>
      <c r="G3" s="1"/>
      <c r="H3" s="5"/>
      <c r="I3" s="5"/>
      <c r="J3" s="1"/>
      <c r="K3" s="1"/>
      <c r="L3" s="1"/>
      <c r="M3" s="1"/>
      <c r="N3" s="1"/>
      <c r="O3" s="3"/>
      <c r="P3" s="3"/>
      <c r="Q3" s="160"/>
      <c r="R3" s="161"/>
      <c r="S3" s="161"/>
      <c r="T3" s="3"/>
      <c r="U3" s="3"/>
      <c r="V3" s="3"/>
    </row>
    <row r="4" spans="1:29" x14ac:dyDescent="0.3">
      <c r="A4" s="10"/>
      <c r="B4" s="34"/>
      <c r="C4" s="10"/>
      <c r="D4" s="6"/>
      <c r="E4" s="109"/>
      <c r="F4" s="1"/>
      <c r="G4" s="1"/>
      <c r="H4" s="5"/>
      <c r="I4" s="5"/>
      <c r="J4" s="1"/>
      <c r="K4" s="1"/>
      <c r="L4" s="1"/>
      <c r="M4" s="1"/>
      <c r="N4" s="1"/>
      <c r="O4" s="3"/>
      <c r="P4" s="3"/>
      <c r="Q4" s="160"/>
      <c r="R4" s="161"/>
      <c r="S4" s="161"/>
      <c r="T4" s="3"/>
      <c r="U4" s="3"/>
      <c r="V4" s="3"/>
    </row>
    <row r="5" spans="1:29" x14ac:dyDescent="0.3">
      <c r="A5" s="11" t="s">
        <v>116</v>
      </c>
      <c r="B5" s="34"/>
      <c r="C5" s="14"/>
      <c r="D5" s="163"/>
      <c r="E5" s="12"/>
      <c r="F5" s="1"/>
      <c r="G5" s="1"/>
      <c r="H5" s="5"/>
      <c r="I5" s="5"/>
      <c r="J5" s="1"/>
      <c r="K5" s="1"/>
      <c r="L5" s="1"/>
      <c r="M5" s="1"/>
      <c r="N5" s="1"/>
      <c r="O5" s="3"/>
      <c r="P5" s="3"/>
      <c r="Q5" s="160"/>
      <c r="R5" s="161"/>
      <c r="S5" s="161"/>
      <c r="T5" s="3"/>
      <c r="U5" s="3"/>
      <c r="V5" s="3"/>
    </row>
    <row r="6" spans="1:29" x14ac:dyDescent="0.3">
      <c r="A6" s="11" t="s">
        <v>70</v>
      </c>
      <c r="B6" s="37"/>
      <c r="C6" s="38"/>
      <c r="D6" s="38"/>
      <c r="E6" s="165"/>
      <c r="F6" s="39"/>
      <c r="G6" s="1"/>
      <c r="H6" s="162"/>
      <c r="I6" s="5"/>
      <c r="J6" s="121"/>
      <c r="K6" s="1"/>
      <c r="L6" s="121"/>
      <c r="M6" s="5"/>
      <c r="N6" s="1"/>
      <c r="O6" s="3"/>
      <c r="P6" s="3"/>
      <c r="Q6" s="160"/>
      <c r="R6" s="161"/>
      <c r="S6" s="168"/>
      <c r="T6" s="4"/>
      <c r="U6" s="4"/>
      <c r="V6" s="4"/>
    </row>
    <row r="7" spans="1:29" ht="156.75" customHeight="1" x14ac:dyDescent="0.3">
      <c r="A7" s="159" t="s">
        <v>4</v>
      </c>
      <c r="B7" s="164" t="s">
        <v>5</v>
      </c>
      <c r="C7" s="159" t="s">
        <v>6</v>
      </c>
      <c r="D7" s="159" t="s">
        <v>7</v>
      </c>
      <c r="E7" s="166" t="s">
        <v>8</v>
      </c>
      <c r="F7" s="159" t="s">
        <v>9</v>
      </c>
      <c r="G7" s="159" t="s">
        <v>10</v>
      </c>
      <c r="H7" s="159" t="s">
        <v>11</v>
      </c>
      <c r="I7" s="159" t="s">
        <v>12</v>
      </c>
      <c r="J7" s="159" t="s">
        <v>13</v>
      </c>
      <c r="K7" s="159" t="s">
        <v>14</v>
      </c>
      <c r="L7" s="159" t="s">
        <v>15</v>
      </c>
      <c r="M7" s="159" t="s">
        <v>16</v>
      </c>
      <c r="N7" s="159" t="s">
        <v>17</v>
      </c>
      <c r="O7" s="167" t="s">
        <v>18</v>
      </c>
      <c r="P7" s="167" t="s">
        <v>19</v>
      </c>
      <c r="Q7" s="164" t="s">
        <v>20</v>
      </c>
      <c r="R7" s="169" t="s">
        <v>21</v>
      </c>
      <c r="S7" s="169" t="s">
        <v>22</v>
      </c>
      <c r="T7" s="167" t="s">
        <v>0</v>
      </c>
      <c r="U7" s="167" t="s">
        <v>23</v>
      </c>
      <c r="V7" s="167" t="s">
        <v>24</v>
      </c>
      <c r="W7" s="167" t="s">
        <v>25</v>
      </c>
      <c r="X7" s="159" t="s">
        <v>26</v>
      </c>
      <c r="Y7" s="164" t="s">
        <v>27</v>
      </c>
      <c r="Z7" s="158" t="s">
        <v>28</v>
      </c>
      <c r="AA7" s="158" t="s">
        <v>29</v>
      </c>
      <c r="AB7" s="159" t="s">
        <v>30</v>
      </c>
      <c r="AC7"/>
    </row>
    <row r="8" spans="1:29" ht="15" customHeight="1" x14ac:dyDescent="0.3">
      <c r="A8" s="21">
        <v>11.118</v>
      </c>
      <c r="B8" s="31" t="s">
        <v>1</v>
      </c>
      <c r="C8" s="22" t="s">
        <v>1</v>
      </c>
      <c r="D8" s="18" t="s">
        <v>1</v>
      </c>
      <c r="E8" s="22">
        <v>-6.7859999999999996</v>
      </c>
      <c r="F8" s="22" t="s">
        <v>40</v>
      </c>
      <c r="G8" s="18" t="s">
        <v>41</v>
      </c>
      <c r="H8" s="31" t="s">
        <v>1</v>
      </c>
      <c r="I8" s="16" t="s">
        <v>42</v>
      </c>
      <c r="J8" s="19">
        <v>0.43958333333333333</v>
      </c>
      <c r="K8" s="16">
        <v>18</v>
      </c>
      <c r="L8" s="16">
        <v>15</v>
      </c>
      <c r="M8" s="31">
        <v>6</v>
      </c>
      <c r="N8" s="31">
        <v>3</v>
      </c>
      <c r="O8" s="18">
        <v>0.47</v>
      </c>
      <c r="P8" s="18">
        <v>7.4</v>
      </c>
      <c r="Q8" s="31" t="s">
        <v>1</v>
      </c>
      <c r="R8" s="42" t="s">
        <v>1</v>
      </c>
      <c r="S8" s="42" t="s">
        <v>1</v>
      </c>
      <c r="T8" s="18" t="s">
        <v>1</v>
      </c>
      <c r="U8" s="18" t="s">
        <v>1</v>
      </c>
      <c r="V8" s="18" t="s">
        <v>1</v>
      </c>
      <c r="W8" s="18" t="s">
        <v>1</v>
      </c>
      <c r="X8" s="18" t="s">
        <v>43</v>
      </c>
      <c r="Y8" s="31" t="s">
        <v>1</v>
      </c>
      <c r="Z8" s="189" t="s">
        <v>119</v>
      </c>
      <c r="AA8" s="189" t="s">
        <v>120</v>
      </c>
      <c r="AB8" s="189" t="s">
        <v>121</v>
      </c>
      <c r="AC8"/>
    </row>
    <row r="9" spans="1:29" ht="15" customHeight="1" x14ac:dyDescent="0.3">
      <c r="A9" s="21">
        <v>13.657</v>
      </c>
      <c r="B9" s="31">
        <v>80</v>
      </c>
      <c r="C9" s="22">
        <v>6.1740000000000004</v>
      </c>
      <c r="D9" s="18">
        <v>7.4</v>
      </c>
      <c r="E9" s="22" t="s">
        <v>1</v>
      </c>
      <c r="F9" s="22" t="s">
        <v>32</v>
      </c>
      <c r="G9" s="18" t="s">
        <v>39</v>
      </c>
      <c r="H9" s="31" t="s">
        <v>1</v>
      </c>
      <c r="I9" s="16" t="s">
        <v>1</v>
      </c>
      <c r="J9" s="19">
        <v>0.1701388888888889</v>
      </c>
      <c r="K9" s="16" t="s">
        <v>1</v>
      </c>
      <c r="L9" s="16" t="s">
        <v>1</v>
      </c>
      <c r="M9" s="31" t="s">
        <v>1</v>
      </c>
      <c r="N9" s="31" t="s">
        <v>1</v>
      </c>
      <c r="O9" s="18" t="s">
        <v>1</v>
      </c>
      <c r="P9" s="18" t="s">
        <v>1</v>
      </c>
      <c r="Q9" s="31" t="s">
        <v>1</v>
      </c>
      <c r="R9" s="42" t="s">
        <v>1</v>
      </c>
      <c r="S9" s="42" t="s">
        <v>1</v>
      </c>
      <c r="T9" s="18" t="s">
        <v>1</v>
      </c>
      <c r="U9" s="18" t="s">
        <v>1</v>
      </c>
      <c r="V9" s="18" t="s">
        <v>1</v>
      </c>
      <c r="W9" s="18" t="s">
        <v>1</v>
      </c>
      <c r="X9" s="18" t="s">
        <v>1</v>
      </c>
      <c r="Y9" s="31">
        <v>2</v>
      </c>
      <c r="Z9" s="189" t="s">
        <v>122</v>
      </c>
      <c r="AA9" s="189" t="s">
        <v>123</v>
      </c>
      <c r="AB9" s="189" t="s">
        <v>132</v>
      </c>
      <c r="AC9"/>
    </row>
    <row r="10" spans="1:29" ht="15" customHeight="1" x14ac:dyDescent="0.3">
      <c r="A10" s="21">
        <v>13.667999999999999</v>
      </c>
      <c r="B10" s="31" t="s">
        <v>1</v>
      </c>
      <c r="C10" s="22" t="s">
        <v>1</v>
      </c>
      <c r="D10" s="18" t="s">
        <v>1</v>
      </c>
      <c r="E10" s="22">
        <v>-1.0999999999999999E-2</v>
      </c>
      <c r="F10" s="22" t="s">
        <v>40</v>
      </c>
      <c r="G10" s="18" t="s">
        <v>44</v>
      </c>
      <c r="H10" s="31" t="s">
        <v>1</v>
      </c>
      <c r="I10" s="16" t="s">
        <v>45</v>
      </c>
      <c r="J10" s="19">
        <v>0.18124999999999999</v>
      </c>
      <c r="K10" s="16">
        <v>976</v>
      </c>
      <c r="L10" s="16">
        <v>218</v>
      </c>
      <c r="M10" s="31">
        <v>20</v>
      </c>
      <c r="N10" s="31">
        <v>3</v>
      </c>
      <c r="O10" s="18">
        <v>1.48</v>
      </c>
      <c r="P10" s="18">
        <v>5.92</v>
      </c>
      <c r="Q10" s="31" t="s">
        <v>1</v>
      </c>
      <c r="R10" s="42" t="s">
        <v>1</v>
      </c>
      <c r="S10" s="42" t="s">
        <v>1</v>
      </c>
      <c r="T10" s="18">
        <v>0.6</v>
      </c>
      <c r="U10" s="18">
        <v>0.53</v>
      </c>
      <c r="V10" s="18">
        <v>0.52</v>
      </c>
      <c r="W10" s="18">
        <v>0.49</v>
      </c>
      <c r="X10" s="18" t="s">
        <v>43</v>
      </c>
      <c r="Y10" s="31" t="s">
        <v>1</v>
      </c>
      <c r="Z10" s="189" t="s">
        <v>124</v>
      </c>
      <c r="AA10" s="189" t="s">
        <v>125</v>
      </c>
      <c r="AB10" s="189" t="s">
        <v>133</v>
      </c>
      <c r="AC10"/>
    </row>
    <row r="11" spans="1:29" ht="15" customHeight="1" x14ac:dyDescent="0.3">
      <c r="A11" s="21">
        <v>15.22</v>
      </c>
      <c r="B11" s="31" t="s">
        <v>1</v>
      </c>
      <c r="C11" s="22" t="s">
        <v>1</v>
      </c>
      <c r="D11" s="18" t="s">
        <v>1</v>
      </c>
      <c r="E11" s="22">
        <v>-1.5629999999999999</v>
      </c>
      <c r="F11" s="22" t="s">
        <v>40</v>
      </c>
      <c r="G11" s="18" t="s">
        <v>44</v>
      </c>
      <c r="H11" s="31" t="s">
        <v>1</v>
      </c>
      <c r="I11" s="16" t="s">
        <v>45</v>
      </c>
      <c r="J11" s="19">
        <v>0.16805555555555557</v>
      </c>
      <c r="K11" s="16">
        <v>2149</v>
      </c>
      <c r="L11" s="16">
        <v>263</v>
      </c>
      <c r="M11" s="31">
        <v>18</v>
      </c>
      <c r="N11" s="31">
        <v>2</v>
      </c>
      <c r="O11" s="18">
        <v>1.33</v>
      </c>
      <c r="P11" s="18">
        <v>6.07</v>
      </c>
      <c r="Q11" s="31" t="s">
        <v>1</v>
      </c>
      <c r="R11" s="42" t="s">
        <v>1</v>
      </c>
      <c r="S11" s="42" t="s">
        <v>1</v>
      </c>
      <c r="T11" s="18">
        <v>0.57999999999999996</v>
      </c>
      <c r="U11" s="18" t="s">
        <v>1</v>
      </c>
      <c r="V11" s="18" t="s">
        <v>1</v>
      </c>
      <c r="W11" s="18">
        <v>0.48</v>
      </c>
      <c r="X11" s="18" t="s">
        <v>43</v>
      </c>
      <c r="Y11" s="31" t="s">
        <v>1</v>
      </c>
      <c r="Z11" s="189" t="s">
        <v>126</v>
      </c>
      <c r="AA11" s="189" t="s">
        <v>127</v>
      </c>
      <c r="AB11" s="189" t="s">
        <v>134</v>
      </c>
      <c r="AC11"/>
    </row>
    <row r="12" spans="1:29" ht="15" customHeight="1" x14ac:dyDescent="0.3">
      <c r="A12" s="21">
        <v>16.236000000000001</v>
      </c>
      <c r="B12" s="31" t="s">
        <v>1</v>
      </c>
      <c r="C12" s="22" t="s">
        <v>1</v>
      </c>
      <c r="D12" s="18" t="s">
        <v>1</v>
      </c>
      <c r="E12" s="22" t="s">
        <v>1</v>
      </c>
      <c r="F12" s="22" t="s">
        <v>46</v>
      </c>
      <c r="G12" s="18" t="s">
        <v>1</v>
      </c>
      <c r="H12" s="31" t="s">
        <v>47</v>
      </c>
      <c r="I12" s="16" t="s">
        <v>1</v>
      </c>
      <c r="J12" s="19" t="s">
        <v>1</v>
      </c>
      <c r="K12" s="16" t="s">
        <v>1</v>
      </c>
      <c r="L12" s="16" t="s">
        <v>1</v>
      </c>
      <c r="M12" s="31" t="s">
        <v>1</v>
      </c>
      <c r="N12" s="31" t="s">
        <v>1</v>
      </c>
      <c r="O12" s="18" t="s">
        <v>1</v>
      </c>
      <c r="P12" s="18" t="s">
        <v>1</v>
      </c>
      <c r="Q12" s="31" t="s">
        <v>1</v>
      </c>
      <c r="R12" s="42" t="s">
        <v>1</v>
      </c>
      <c r="S12" s="42" t="s">
        <v>1</v>
      </c>
      <c r="T12" s="18" t="s">
        <v>1</v>
      </c>
      <c r="U12" s="18" t="s">
        <v>1</v>
      </c>
      <c r="V12" s="18" t="s">
        <v>1</v>
      </c>
      <c r="W12" s="18" t="s">
        <v>1</v>
      </c>
      <c r="X12" s="18" t="s">
        <v>1</v>
      </c>
      <c r="Y12" s="31" t="s">
        <v>1</v>
      </c>
      <c r="Z12" s="189" t="s">
        <v>128</v>
      </c>
      <c r="AA12" s="189" t="s">
        <v>129</v>
      </c>
      <c r="AB12" s="189" t="s">
        <v>135</v>
      </c>
      <c r="AC12"/>
    </row>
    <row r="13" spans="1:29" ht="15" customHeight="1" x14ac:dyDescent="0.3">
      <c r="A13" s="21">
        <v>17.532</v>
      </c>
      <c r="B13" s="31" t="s">
        <v>1</v>
      </c>
      <c r="C13" s="22" t="s">
        <v>1</v>
      </c>
      <c r="D13" s="18" t="s">
        <v>1</v>
      </c>
      <c r="E13" s="22" t="s">
        <v>1</v>
      </c>
      <c r="F13" s="22" t="s">
        <v>48</v>
      </c>
      <c r="G13" s="18" t="s">
        <v>1</v>
      </c>
      <c r="H13" s="31" t="s">
        <v>1</v>
      </c>
      <c r="I13" s="16" t="s">
        <v>1</v>
      </c>
      <c r="J13" s="19">
        <v>0.25</v>
      </c>
      <c r="K13" s="16" t="s">
        <v>1</v>
      </c>
      <c r="L13" s="16" t="s">
        <v>1</v>
      </c>
      <c r="M13" s="31" t="s">
        <v>1</v>
      </c>
      <c r="N13" s="31" t="s">
        <v>1</v>
      </c>
      <c r="O13" s="18" t="s">
        <v>1</v>
      </c>
      <c r="P13" s="18" t="s">
        <v>1</v>
      </c>
      <c r="Q13" s="31" t="s">
        <v>1</v>
      </c>
      <c r="R13" s="42" t="s">
        <v>1</v>
      </c>
      <c r="S13" s="42" t="s">
        <v>1</v>
      </c>
      <c r="T13" s="18" t="s">
        <v>1</v>
      </c>
      <c r="U13" s="18" t="s">
        <v>1</v>
      </c>
      <c r="V13" s="18" t="s">
        <v>1</v>
      </c>
      <c r="W13" s="18" t="s">
        <v>1</v>
      </c>
      <c r="X13" s="18" t="s">
        <v>1</v>
      </c>
      <c r="Y13" s="31" t="s">
        <v>1</v>
      </c>
      <c r="Z13" s="189" t="s">
        <v>130</v>
      </c>
      <c r="AA13" s="189" t="s">
        <v>131</v>
      </c>
      <c r="AB13" s="189" t="s">
        <v>136</v>
      </c>
      <c r="AC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zoomScaleNormal="100" workbookViewId="0">
      <selection activeCell="F30" sqref="F30"/>
    </sheetView>
  </sheetViews>
  <sheetFormatPr defaultColWidth="9.109375" defaultRowHeight="13.2" x14ac:dyDescent="0.25"/>
  <cols>
    <col min="1" max="1" width="12.109375" style="77" customWidth="1"/>
    <col min="2" max="2" width="19" style="54" customWidth="1"/>
    <col min="3" max="3" width="26.109375" style="54" customWidth="1"/>
    <col min="4" max="4" width="15.6640625" style="54" customWidth="1"/>
    <col min="5" max="5" width="14.33203125" style="74" customWidth="1"/>
    <col min="6" max="6" width="11.6640625" style="74" customWidth="1"/>
    <col min="7" max="7" width="9.6640625" style="54" customWidth="1"/>
    <col min="8" max="8" width="15.6640625" style="133" bestFit="1" customWidth="1"/>
    <col min="9" max="9" width="16.6640625" style="133" bestFit="1" customWidth="1"/>
    <col min="10" max="10" width="8.5546875" style="81" bestFit="1" customWidth="1"/>
    <col min="11" max="16384" width="9.109375" style="56"/>
  </cols>
  <sheetData>
    <row r="1" spans="1:10" ht="15.6" x14ac:dyDescent="0.3">
      <c r="A1" s="89" t="s">
        <v>75</v>
      </c>
    </row>
    <row r="3" spans="1:10" ht="14.25" customHeight="1" x14ac:dyDescent="0.25">
      <c r="A3" s="36" t="str">
        <f>'Журнал раскладки труб'!A3</f>
        <v>Участок</v>
      </c>
      <c r="B3" s="1"/>
      <c r="C3" s="1"/>
    </row>
    <row r="4" spans="1:10" x14ac:dyDescent="0.25">
      <c r="A4" s="10"/>
      <c r="B4" s="13"/>
      <c r="C4" s="10"/>
    </row>
    <row r="5" spans="1:10" x14ac:dyDescent="0.25">
      <c r="A5" s="11" t="s">
        <v>118</v>
      </c>
      <c r="B5" s="13"/>
      <c r="C5" s="20"/>
      <c r="D5" s="66"/>
    </row>
    <row r="6" spans="1:10" x14ac:dyDescent="0.25">
      <c r="A6" s="11" t="s">
        <v>70</v>
      </c>
      <c r="B6" s="14"/>
      <c r="C6" s="38"/>
      <c r="D6" s="69"/>
    </row>
    <row r="7" spans="1:10" ht="111" customHeight="1" x14ac:dyDescent="0.25">
      <c r="A7" s="72" t="s">
        <v>4</v>
      </c>
      <c r="B7" s="72" t="s">
        <v>71</v>
      </c>
      <c r="C7" s="72" t="s">
        <v>11</v>
      </c>
      <c r="D7" s="72" t="s">
        <v>13</v>
      </c>
      <c r="E7" s="72" t="s">
        <v>72</v>
      </c>
      <c r="F7" s="72" t="s">
        <v>73</v>
      </c>
      <c r="G7" s="72" t="s">
        <v>74</v>
      </c>
      <c r="H7" s="132" t="s">
        <v>28</v>
      </c>
      <c r="I7" s="132" t="s">
        <v>29</v>
      </c>
      <c r="J7" s="73" t="s">
        <v>30</v>
      </c>
    </row>
    <row r="8" spans="1:10" ht="14.4" x14ac:dyDescent="0.3">
      <c r="A8" s="100">
        <v>16.236000000000001</v>
      </c>
      <c r="B8" s="101" t="s">
        <v>46</v>
      </c>
      <c r="C8" s="101" t="s">
        <v>47</v>
      </c>
      <c r="D8" s="103" t="s">
        <v>1</v>
      </c>
      <c r="E8" s="100">
        <v>-15.926</v>
      </c>
      <c r="F8" s="100">
        <v>0.31</v>
      </c>
      <c r="G8" s="108" t="s">
        <v>33</v>
      </c>
      <c r="H8" s="190" t="s">
        <v>128</v>
      </c>
      <c r="I8" s="190" t="s">
        <v>129</v>
      </c>
      <c r="J8" s="190" t="s">
        <v>135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zoomScaleNormal="100" workbookViewId="0">
      <selection activeCell="C9" sqref="C9"/>
    </sheetView>
  </sheetViews>
  <sheetFormatPr defaultRowHeight="14.4" x14ac:dyDescent="0.3"/>
  <cols>
    <col min="1" max="1" width="14.5546875" customWidth="1"/>
    <col min="2" max="2" width="5.5546875" bestFit="1" customWidth="1"/>
    <col min="3" max="3" width="21.88671875" customWidth="1"/>
    <col min="4" max="4" width="24.88671875" customWidth="1"/>
    <col min="5" max="5" width="34.88671875" bestFit="1" customWidth="1"/>
    <col min="6" max="6" width="10.33203125" bestFit="1" customWidth="1"/>
    <col min="7" max="7" width="9.5546875" style="8" bestFit="1" customWidth="1"/>
    <col min="8" max="8" width="6" bestFit="1" customWidth="1"/>
    <col min="9" max="10" width="11.5546875" style="131" bestFit="1" customWidth="1"/>
    <col min="11" max="11" width="8.33203125" style="45" bestFit="1" customWidth="1"/>
  </cols>
  <sheetData>
    <row r="1" spans="1:11" ht="15.6" x14ac:dyDescent="0.3">
      <c r="A1" s="2" t="s">
        <v>76</v>
      </c>
      <c r="B1" s="3"/>
      <c r="C1" s="4"/>
      <c r="D1" s="4"/>
      <c r="E1" s="1"/>
      <c r="F1" s="1"/>
    </row>
    <row r="2" spans="1:11" ht="15.6" x14ac:dyDescent="0.3">
      <c r="A2" s="2"/>
      <c r="B2" s="3"/>
      <c r="C2" s="4"/>
      <c r="D2" s="4"/>
      <c r="E2" s="1"/>
      <c r="F2" s="1"/>
    </row>
    <row r="3" spans="1:11" x14ac:dyDescent="0.3">
      <c r="A3" s="191" t="str">
        <f>'Журнал раскладки труб'!A3</f>
        <v>Участок</v>
      </c>
      <c r="B3" s="192"/>
      <c r="C3" s="192"/>
      <c r="D3" s="192"/>
      <c r="E3" s="192"/>
      <c r="F3" s="192"/>
    </row>
    <row r="4" spans="1:11" x14ac:dyDescent="0.3">
      <c r="A4" s="10"/>
      <c r="B4" s="13"/>
      <c r="C4" s="10"/>
      <c r="D4" s="6"/>
      <c r="E4" s="7"/>
      <c r="F4" s="1"/>
    </row>
    <row r="5" spans="1:11" x14ac:dyDescent="0.3">
      <c r="A5" s="11" t="s">
        <v>116</v>
      </c>
      <c r="B5" s="13"/>
      <c r="C5" s="193"/>
      <c r="D5" s="194"/>
      <c r="E5" s="194"/>
      <c r="F5" s="1"/>
    </row>
    <row r="6" spans="1:11" x14ac:dyDescent="0.3">
      <c r="A6" s="11" t="s">
        <v>70</v>
      </c>
      <c r="B6" s="14"/>
      <c r="C6" s="38"/>
      <c r="D6" s="38"/>
      <c r="E6" s="38"/>
      <c r="F6" s="39"/>
    </row>
    <row r="7" spans="1:11" ht="144.6" customHeight="1" x14ac:dyDescent="0.3">
      <c r="A7" s="35" t="s">
        <v>4</v>
      </c>
      <c r="B7" s="35" t="s">
        <v>13</v>
      </c>
      <c r="C7" s="35" t="s">
        <v>88</v>
      </c>
      <c r="D7" s="35" t="s">
        <v>10</v>
      </c>
      <c r="E7" s="35" t="s">
        <v>11</v>
      </c>
      <c r="F7" s="35" t="s">
        <v>72</v>
      </c>
      <c r="G7" s="35" t="s">
        <v>73</v>
      </c>
      <c r="H7" s="35" t="s">
        <v>74</v>
      </c>
      <c r="I7" s="132" t="s">
        <v>28</v>
      </c>
      <c r="J7" s="132" t="s">
        <v>29</v>
      </c>
      <c r="K7" s="35" t="s">
        <v>30</v>
      </c>
    </row>
    <row r="8" spans="1:11" x14ac:dyDescent="0.3">
      <c r="A8" s="21">
        <v>-1.325</v>
      </c>
      <c r="B8" s="19" t="s">
        <v>1</v>
      </c>
      <c r="C8" s="16" t="s">
        <v>31</v>
      </c>
      <c r="D8" s="23" t="s">
        <v>1</v>
      </c>
      <c r="E8" s="19" t="s">
        <v>1</v>
      </c>
      <c r="F8" s="22">
        <v>1.635</v>
      </c>
      <c r="G8" s="22">
        <v>0.31</v>
      </c>
      <c r="H8" s="22" t="s">
        <v>33</v>
      </c>
      <c r="I8" s="190" t="s">
        <v>119</v>
      </c>
      <c r="J8" s="190" t="s">
        <v>120</v>
      </c>
      <c r="K8" s="190" t="s">
        <v>121</v>
      </c>
    </row>
    <row r="9" spans="1:11" x14ac:dyDescent="0.3">
      <c r="A9" s="21">
        <v>0.31</v>
      </c>
      <c r="B9" s="19" t="s">
        <v>1</v>
      </c>
      <c r="C9" s="16" t="s">
        <v>33</v>
      </c>
      <c r="D9" s="23" t="s">
        <v>1</v>
      </c>
      <c r="E9" s="19" t="s">
        <v>1</v>
      </c>
      <c r="F9" s="22">
        <v>0</v>
      </c>
      <c r="G9" s="22">
        <v>0.31</v>
      </c>
      <c r="H9" s="22" t="s">
        <v>33</v>
      </c>
      <c r="I9" s="190" t="s">
        <v>122</v>
      </c>
      <c r="J9" s="190" t="s">
        <v>123</v>
      </c>
      <c r="K9" s="190" t="s">
        <v>132</v>
      </c>
    </row>
    <row r="10" spans="1:11" x14ac:dyDescent="0.3">
      <c r="A10" s="21">
        <v>1.863</v>
      </c>
      <c r="B10" s="19">
        <v>0.375</v>
      </c>
      <c r="C10" s="16" t="s">
        <v>34</v>
      </c>
      <c r="D10" s="23" t="s">
        <v>35</v>
      </c>
      <c r="E10" s="19" t="s">
        <v>36</v>
      </c>
      <c r="F10" s="22">
        <v>-1.5529999999999999</v>
      </c>
      <c r="G10" s="22">
        <v>0.31</v>
      </c>
      <c r="H10" s="22" t="s">
        <v>33</v>
      </c>
      <c r="I10" s="190" t="s">
        <v>124</v>
      </c>
      <c r="J10" s="190" t="s">
        <v>125</v>
      </c>
      <c r="K10" s="190" t="s">
        <v>133</v>
      </c>
    </row>
    <row r="11" spans="1:11" x14ac:dyDescent="0.3">
      <c r="A11" s="21">
        <v>3.2410000000000001</v>
      </c>
      <c r="B11" s="19">
        <v>0.5</v>
      </c>
      <c r="C11" s="16" t="s">
        <v>37</v>
      </c>
      <c r="D11" s="23" t="s">
        <v>1</v>
      </c>
      <c r="E11" s="19" t="s">
        <v>38</v>
      </c>
      <c r="F11" s="22">
        <v>-2.931</v>
      </c>
      <c r="G11" s="22">
        <v>0.31</v>
      </c>
      <c r="H11" s="22" t="s">
        <v>33</v>
      </c>
      <c r="I11" s="190" t="s">
        <v>126</v>
      </c>
      <c r="J11" s="190" t="s">
        <v>127</v>
      </c>
      <c r="K11" s="190" t="s">
        <v>134</v>
      </c>
    </row>
    <row r="12" spans="1:11" x14ac:dyDescent="0.3">
      <c r="A12" s="21">
        <v>3.5880000000000001</v>
      </c>
      <c r="B12" s="19">
        <v>0.5</v>
      </c>
      <c r="C12" s="16" t="s">
        <v>37</v>
      </c>
      <c r="D12" s="23" t="s">
        <v>1</v>
      </c>
      <c r="E12" s="19" t="s">
        <v>38</v>
      </c>
      <c r="F12" s="22">
        <v>-3.278</v>
      </c>
      <c r="G12" s="22">
        <v>0.31</v>
      </c>
      <c r="H12" s="22" t="s">
        <v>33</v>
      </c>
      <c r="I12" s="190" t="s">
        <v>128</v>
      </c>
      <c r="J12" s="190" t="s">
        <v>129</v>
      </c>
      <c r="K12" s="190" t="s">
        <v>135</v>
      </c>
    </row>
    <row r="13" spans="1:11" x14ac:dyDescent="0.3">
      <c r="A13" s="21">
        <v>3.988</v>
      </c>
      <c r="B13" s="19">
        <v>0.5</v>
      </c>
      <c r="C13" s="16" t="s">
        <v>37</v>
      </c>
      <c r="D13" s="23" t="s">
        <v>1</v>
      </c>
      <c r="E13" s="19" t="s">
        <v>1</v>
      </c>
      <c r="F13" s="22">
        <v>-3.6779999999999999</v>
      </c>
      <c r="G13" s="22">
        <v>0.31</v>
      </c>
      <c r="H13" s="22" t="s">
        <v>33</v>
      </c>
      <c r="I13" s="190" t="s">
        <v>130</v>
      </c>
      <c r="J13" s="190" t="s">
        <v>131</v>
      </c>
      <c r="K13" s="190" t="s">
        <v>136</v>
      </c>
    </row>
  </sheetData>
  <mergeCells count="2">
    <mergeCell ref="A3:F3"/>
    <mergeCell ref="C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zoomScaleNormal="100" workbookViewId="0">
      <selection activeCell="O8" sqref="M8:O8"/>
    </sheetView>
  </sheetViews>
  <sheetFormatPr defaultColWidth="9.109375" defaultRowHeight="13.2" x14ac:dyDescent="0.25"/>
  <cols>
    <col min="1" max="1" width="13.109375" style="77" customWidth="1"/>
    <col min="2" max="2" width="6" style="184" bestFit="1" customWidth="1"/>
    <col min="3" max="3" width="17.109375" style="75" customWidth="1"/>
    <col min="4" max="4" width="13.109375" style="75" bestFit="1" customWidth="1"/>
    <col min="5" max="5" width="5.5546875" style="56" bestFit="1" customWidth="1"/>
    <col min="6" max="6" width="30.44140625" style="54" bestFit="1" customWidth="1"/>
    <col min="7" max="7" width="10.33203125" style="77" bestFit="1" customWidth="1"/>
    <col min="8" max="8" width="9.5546875" style="74" bestFit="1" customWidth="1"/>
    <col min="9" max="9" width="6" style="74" bestFit="1" customWidth="1"/>
    <col min="10" max="10" width="8.33203125" style="74" bestFit="1" customWidth="1"/>
    <col min="11" max="11" width="9.5546875" style="74" bestFit="1" customWidth="1"/>
    <col min="12" max="12" width="27.88671875" style="74" bestFit="1" customWidth="1"/>
    <col min="13" max="13" width="15.44140625" style="133" bestFit="1" customWidth="1"/>
    <col min="14" max="14" width="15" style="133" bestFit="1" customWidth="1"/>
    <col min="15" max="15" width="8.5546875" style="75" bestFit="1" customWidth="1"/>
    <col min="16" max="16384" width="9.109375" style="56"/>
  </cols>
  <sheetData>
    <row r="1" spans="1:15" ht="15.6" x14ac:dyDescent="0.3">
      <c r="A1" s="50" t="s">
        <v>77</v>
      </c>
      <c r="B1" s="180"/>
      <c r="C1" s="51"/>
      <c r="D1" s="51"/>
      <c r="E1" s="82"/>
      <c r="F1" s="53"/>
      <c r="G1" s="99"/>
      <c r="H1" s="83"/>
      <c r="I1" s="83"/>
      <c r="J1" s="83"/>
      <c r="K1" s="83"/>
      <c r="L1" s="83"/>
    </row>
    <row r="2" spans="1:15" ht="15.6" x14ac:dyDescent="0.3">
      <c r="A2" s="50"/>
      <c r="B2" s="180"/>
      <c r="C2" s="51"/>
      <c r="D2" s="51"/>
      <c r="E2" s="82"/>
      <c r="F2" s="53"/>
      <c r="G2" s="99"/>
      <c r="H2" s="83"/>
      <c r="I2" s="83"/>
      <c r="J2" s="83"/>
      <c r="K2" s="83"/>
      <c r="L2" s="83"/>
    </row>
    <row r="3" spans="1:15" x14ac:dyDescent="0.25">
      <c r="A3" s="57" t="str">
        <f>'Журнал раскладки труб'!A3</f>
        <v>Участок</v>
      </c>
      <c r="B3" s="181"/>
      <c r="C3" s="58"/>
      <c r="D3" s="58"/>
      <c r="E3" s="60"/>
      <c r="F3" s="84"/>
      <c r="G3" s="85"/>
      <c r="H3" s="85"/>
      <c r="I3" s="85"/>
      <c r="J3" s="85"/>
      <c r="K3" s="85"/>
      <c r="L3" s="85"/>
    </row>
    <row r="4" spans="1:15" x14ac:dyDescent="0.25">
      <c r="A4" s="86"/>
      <c r="B4" s="182"/>
      <c r="C4" s="87"/>
      <c r="D4" s="87"/>
      <c r="E4" s="88"/>
      <c r="F4" s="53"/>
      <c r="G4" s="99"/>
      <c r="H4" s="83"/>
      <c r="I4" s="83"/>
      <c r="J4" s="83"/>
      <c r="K4" s="83"/>
      <c r="L4" s="83"/>
    </row>
    <row r="5" spans="1:15" x14ac:dyDescent="0.25">
      <c r="A5" s="11" t="s">
        <v>116</v>
      </c>
      <c r="B5" s="183"/>
      <c r="C5" s="64"/>
      <c r="D5" s="65"/>
      <c r="E5" s="66"/>
      <c r="F5" s="53"/>
      <c r="G5" s="67"/>
    </row>
    <row r="6" spans="1:15" x14ac:dyDescent="0.25">
      <c r="A6" s="11" t="s">
        <v>70</v>
      </c>
      <c r="B6" s="183"/>
      <c r="C6" s="64"/>
      <c r="D6" s="69"/>
      <c r="E6" s="69"/>
      <c r="F6" s="71"/>
      <c r="G6" s="67"/>
    </row>
    <row r="7" spans="1:15" ht="153.75" customHeight="1" x14ac:dyDescent="0.25">
      <c r="A7" s="72" t="s">
        <v>4</v>
      </c>
      <c r="B7" s="123" t="s">
        <v>5</v>
      </c>
      <c r="C7" s="72" t="s">
        <v>88</v>
      </c>
      <c r="D7" s="72" t="s">
        <v>10</v>
      </c>
      <c r="E7" s="72" t="s">
        <v>13</v>
      </c>
      <c r="F7" s="72" t="s">
        <v>11</v>
      </c>
      <c r="G7" s="72" t="s">
        <v>72</v>
      </c>
      <c r="H7" s="72" t="s">
        <v>73</v>
      </c>
      <c r="I7" s="72" t="s">
        <v>74</v>
      </c>
      <c r="J7" s="72" t="s">
        <v>89</v>
      </c>
      <c r="K7" s="72" t="s">
        <v>90</v>
      </c>
      <c r="L7" s="72" t="s">
        <v>91</v>
      </c>
      <c r="M7" s="132" t="s">
        <v>28</v>
      </c>
      <c r="N7" s="132" t="s">
        <v>29</v>
      </c>
      <c r="O7" s="72" t="s">
        <v>30</v>
      </c>
    </row>
    <row r="8" spans="1:15" ht="14.4" x14ac:dyDescent="0.3">
      <c r="A8" s="100"/>
      <c r="B8" s="102">
        <v>50</v>
      </c>
      <c r="C8" s="101" t="s">
        <v>34</v>
      </c>
      <c r="D8" s="101" t="s">
        <v>35</v>
      </c>
      <c r="E8" s="103">
        <v>0.375</v>
      </c>
      <c r="F8" s="104" t="s">
        <v>36</v>
      </c>
      <c r="G8" s="100">
        <v>-1.5529999999999999</v>
      </c>
      <c r="H8" s="100">
        <v>0.31</v>
      </c>
      <c r="I8" s="100" t="s">
        <v>33</v>
      </c>
      <c r="J8" s="100">
        <v>14.374000000000001</v>
      </c>
      <c r="K8" s="100">
        <v>16.236000000000001</v>
      </c>
      <c r="L8" s="100" t="s">
        <v>92</v>
      </c>
      <c r="M8" s="190" t="s">
        <v>128</v>
      </c>
      <c r="N8" s="190" t="s">
        <v>129</v>
      </c>
      <c r="O8" s="190" t="s">
        <v>135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E13"/>
  <sheetViews>
    <sheetView topLeftCell="A4" zoomScaleNormal="100" workbookViewId="0">
      <selection activeCell="AC8" sqref="AC8:AE13"/>
    </sheetView>
  </sheetViews>
  <sheetFormatPr defaultColWidth="9.109375" defaultRowHeight="13.2" x14ac:dyDescent="0.25"/>
  <cols>
    <col min="1" max="1" width="11.6640625" style="25" customWidth="1"/>
    <col min="2" max="2" width="6" style="32" bestFit="1" customWidth="1"/>
    <col min="3" max="3" width="13.88671875" style="177" bestFit="1" customWidth="1"/>
    <col min="4" max="4" width="5.5546875" style="26" bestFit="1" customWidth="1"/>
    <col min="5" max="5" width="7.33203125" style="177" bestFit="1" customWidth="1"/>
    <col min="6" max="6" width="9.5546875" style="25" bestFit="1" customWidth="1"/>
    <col min="7" max="7" width="6" style="25" bestFit="1" customWidth="1"/>
    <col min="8" max="8" width="22" style="26" bestFit="1" customWidth="1"/>
    <col min="9" max="9" width="28.33203125" style="25" customWidth="1"/>
    <col min="10" max="10" width="38.6640625" style="24" bestFit="1" customWidth="1"/>
    <col min="11" max="11" width="5.5546875" style="25" bestFit="1" customWidth="1"/>
    <col min="12" max="12" width="6" style="25" bestFit="1" customWidth="1"/>
    <col min="13" max="13" width="5" style="25" bestFit="1" customWidth="1"/>
    <col min="14" max="15" width="3" style="25" bestFit="1" customWidth="1"/>
    <col min="16" max="16" width="4.5546875" style="26" bestFit="1" customWidth="1"/>
    <col min="17" max="17" width="5.5546875" style="26" bestFit="1" customWidth="1"/>
    <col min="18" max="18" width="3" style="44" bestFit="1" customWidth="1"/>
    <col min="19" max="20" width="3.5546875" style="44" bestFit="1" customWidth="1"/>
    <col min="21" max="22" width="4.5546875" style="32" bestFit="1" customWidth="1"/>
    <col min="23" max="23" width="4.5546875" style="25" bestFit="1" customWidth="1"/>
    <col min="24" max="25" width="4.5546875" style="24" bestFit="1" customWidth="1"/>
    <col min="26" max="26" width="5.44140625" style="24" bestFit="1" customWidth="1"/>
    <col min="27" max="27" width="3" style="107" bestFit="1" customWidth="1"/>
    <col min="28" max="28" width="5" style="107" bestFit="1" customWidth="1"/>
    <col min="29" max="30" width="12.6640625" style="136" bestFit="1" customWidth="1"/>
    <col min="31" max="31" width="8.5546875" style="24" bestFit="1" customWidth="1"/>
    <col min="32" max="16384" width="9.109375" style="24"/>
  </cols>
  <sheetData>
    <row r="1" spans="1:31" ht="15.6" x14ac:dyDescent="0.3">
      <c r="A1" s="30" t="s">
        <v>78</v>
      </c>
      <c r="B1" s="41"/>
      <c r="C1" s="176"/>
      <c r="D1" s="129"/>
      <c r="E1" s="178"/>
      <c r="H1" s="27"/>
      <c r="I1" s="29"/>
      <c r="K1" s="28"/>
      <c r="L1" s="28"/>
    </row>
    <row r="2" spans="1:31" ht="15.6" x14ac:dyDescent="0.3">
      <c r="A2" s="9"/>
      <c r="B2" s="34"/>
      <c r="C2" s="13"/>
      <c r="D2" s="4"/>
      <c r="E2" s="13"/>
      <c r="F2" s="1"/>
      <c r="G2" s="1"/>
      <c r="H2"/>
      <c r="I2"/>
      <c r="J2" s="17"/>
      <c r="K2" s="17"/>
      <c r="L2"/>
      <c r="M2"/>
      <c r="N2"/>
      <c r="O2"/>
      <c r="P2" s="15"/>
      <c r="Q2" s="15"/>
      <c r="R2" s="43"/>
      <c r="S2" s="43"/>
      <c r="T2" s="43"/>
      <c r="U2" s="33"/>
      <c r="V2" s="33"/>
      <c r="W2"/>
      <c r="X2" s="17"/>
      <c r="Y2"/>
      <c r="Z2"/>
      <c r="AA2" s="45"/>
    </row>
    <row r="3" spans="1:31" ht="14.4" x14ac:dyDescent="0.3">
      <c r="A3" s="36" t="str">
        <f>'Журнал раскладки труб'!A3</f>
        <v>Участок</v>
      </c>
      <c r="B3" s="34"/>
      <c r="C3" s="12"/>
      <c r="D3" s="4"/>
      <c r="E3" s="12"/>
      <c r="F3" s="1"/>
      <c r="G3" s="1"/>
      <c r="H3"/>
      <c r="I3"/>
      <c r="J3" s="17"/>
      <c r="K3" s="17"/>
      <c r="L3"/>
      <c r="M3"/>
      <c r="N3"/>
      <c r="O3"/>
      <c r="P3" s="15"/>
      <c r="Q3" s="15"/>
      <c r="R3" s="43"/>
      <c r="S3" s="43"/>
      <c r="T3" s="43"/>
      <c r="U3" s="33"/>
      <c r="V3" s="33"/>
      <c r="W3"/>
      <c r="X3" s="17"/>
      <c r="Y3"/>
      <c r="Z3"/>
      <c r="AA3" s="45"/>
    </row>
    <row r="4" spans="1:31" ht="14.4" x14ac:dyDescent="0.3">
      <c r="A4" s="10"/>
      <c r="B4" s="34"/>
      <c r="C4" s="13"/>
      <c r="D4" s="114"/>
      <c r="E4" s="10"/>
      <c r="F4" s="7"/>
      <c r="G4" s="1"/>
      <c r="H4"/>
      <c r="I4"/>
      <c r="J4" s="17"/>
      <c r="K4" s="17"/>
      <c r="L4"/>
      <c r="M4"/>
      <c r="N4"/>
      <c r="O4"/>
      <c r="P4" s="15"/>
      <c r="Q4" s="15"/>
      <c r="R4" s="43"/>
      <c r="S4" s="43"/>
      <c r="T4" s="43"/>
      <c r="U4" s="33"/>
      <c r="V4" s="33"/>
      <c r="W4"/>
      <c r="X4" s="17"/>
      <c r="Y4"/>
      <c r="Z4"/>
      <c r="AA4" s="45"/>
    </row>
    <row r="5" spans="1:31" ht="14.4" x14ac:dyDescent="0.3">
      <c r="A5" s="11" t="s">
        <v>116</v>
      </c>
      <c r="B5" s="34"/>
      <c r="C5" s="49"/>
      <c r="E5" s="12"/>
      <c r="F5" s="3"/>
      <c r="G5" s="1"/>
      <c r="H5"/>
      <c r="I5"/>
      <c r="J5" s="17"/>
      <c r="K5" s="17"/>
      <c r="L5"/>
      <c r="M5"/>
      <c r="N5"/>
      <c r="O5"/>
      <c r="P5" s="15"/>
      <c r="Q5" s="15"/>
      <c r="R5" s="43"/>
      <c r="S5" s="43"/>
      <c r="T5" s="43"/>
      <c r="U5" s="33"/>
      <c r="V5" s="33"/>
      <c r="W5"/>
      <c r="X5" s="17"/>
      <c r="Y5"/>
      <c r="Z5"/>
      <c r="AA5" s="45"/>
    </row>
    <row r="6" spans="1:31" ht="14.4" x14ac:dyDescent="0.3">
      <c r="A6" s="11" t="s">
        <v>70</v>
      </c>
      <c r="B6" s="37"/>
      <c r="C6" s="48"/>
      <c r="E6" s="165"/>
      <c r="F6" s="38"/>
      <c r="G6" s="39"/>
      <c r="H6"/>
      <c r="I6"/>
      <c r="J6" s="17"/>
      <c r="K6" s="17"/>
      <c r="L6"/>
      <c r="M6"/>
      <c r="N6"/>
      <c r="O6"/>
      <c r="P6" s="15"/>
      <c r="Q6" s="15"/>
      <c r="R6" s="43"/>
      <c r="S6" s="43"/>
      <c r="T6" s="43"/>
      <c r="U6" s="33"/>
      <c r="V6" s="33"/>
      <c r="W6"/>
      <c r="X6" s="17"/>
      <c r="Y6"/>
      <c r="Z6"/>
      <c r="AA6" s="45"/>
    </row>
    <row r="7" spans="1:31" s="106" customFormat="1" ht="148.5" customHeight="1" x14ac:dyDescent="0.3">
      <c r="A7" s="35" t="s">
        <v>93</v>
      </c>
      <c r="B7" s="175" t="s">
        <v>5</v>
      </c>
      <c r="C7" s="35" t="s">
        <v>6</v>
      </c>
      <c r="D7" s="128" t="s">
        <v>7</v>
      </c>
      <c r="E7" s="35" t="s">
        <v>8</v>
      </c>
      <c r="F7" s="35" t="s">
        <v>4</v>
      </c>
      <c r="G7" s="35" t="s">
        <v>13</v>
      </c>
      <c r="H7" s="35" t="s">
        <v>94</v>
      </c>
      <c r="I7" s="35" t="s">
        <v>10</v>
      </c>
      <c r="J7" s="35" t="s">
        <v>11</v>
      </c>
      <c r="K7" s="35" t="s">
        <v>12</v>
      </c>
      <c r="L7" s="35" t="s">
        <v>14</v>
      </c>
      <c r="M7" s="35" t="s">
        <v>15</v>
      </c>
      <c r="N7" s="35" t="s">
        <v>16</v>
      </c>
      <c r="O7" s="35" t="s">
        <v>17</v>
      </c>
      <c r="P7" s="128" t="s">
        <v>95</v>
      </c>
      <c r="Q7" s="128" t="s">
        <v>19</v>
      </c>
      <c r="R7" s="35" t="s">
        <v>20</v>
      </c>
      <c r="S7" s="179" t="s">
        <v>21</v>
      </c>
      <c r="T7" s="179" t="s">
        <v>22</v>
      </c>
      <c r="U7" s="35" t="s">
        <v>0</v>
      </c>
      <c r="V7" s="35" t="s">
        <v>23</v>
      </c>
      <c r="W7" s="35" t="s">
        <v>24</v>
      </c>
      <c r="X7" s="35" t="s">
        <v>25</v>
      </c>
      <c r="Y7" s="35" t="s">
        <v>26</v>
      </c>
      <c r="Z7" s="35" t="s">
        <v>96</v>
      </c>
      <c r="AA7" s="35" t="s">
        <v>97</v>
      </c>
      <c r="AB7" s="35" t="s">
        <v>98</v>
      </c>
      <c r="AC7" s="132" t="s">
        <v>28</v>
      </c>
      <c r="AD7" s="132" t="s">
        <v>29</v>
      </c>
      <c r="AE7" s="35" t="s">
        <v>30</v>
      </c>
    </row>
    <row r="8" spans="1:31" s="106" customFormat="1" ht="14.4" x14ac:dyDescent="0.3">
      <c r="A8" s="148">
        <v>4.3319999999999999</v>
      </c>
      <c r="B8" s="149">
        <v>70</v>
      </c>
      <c r="C8" s="150">
        <v>9.3249999999999993</v>
      </c>
      <c r="D8" s="151">
        <v>7.87</v>
      </c>
      <c r="E8" s="150">
        <v>-0.79300000000000004</v>
      </c>
      <c r="F8" s="150">
        <v>5.125</v>
      </c>
      <c r="G8" s="152">
        <v>0.17430555555555555</v>
      </c>
      <c r="H8" s="151" t="s">
        <v>40</v>
      </c>
      <c r="I8" s="153" t="s">
        <v>41</v>
      </c>
      <c r="J8" s="151" t="s">
        <v>1</v>
      </c>
      <c r="K8" s="152" t="s">
        <v>42</v>
      </c>
      <c r="L8" s="154">
        <v>16</v>
      </c>
      <c r="M8" s="154">
        <v>15</v>
      </c>
      <c r="N8" s="149">
        <v>6</v>
      </c>
      <c r="O8" s="149">
        <v>3</v>
      </c>
      <c r="P8" s="151">
        <v>0.47</v>
      </c>
      <c r="Q8" s="151">
        <v>7.4</v>
      </c>
      <c r="R8" s="149" t="s">
        <v>1</v>
      </c>
      <c r="S8" s="155" t="s">
        <v>1</v>
      </c>
      <c r="T8" s="155" t="s">
        <v>1</v>
      </c>
      <c r="U8" s="151" t="s">
        <v>1</v>
      </c>
      <c r="V8" s="151" t="s">
        <v>1</v>
      </c>
      <c r="W8" s="151" t="s">
        <v>1</v>
      </c>
      <c r="X8" s="151" t="s">
        <v>1</v>
      </c>
      <c r="Y8" s="151" t="s">
        <v>43</v>
      </c>
      <c r="Z8" s="154" t="s">
        <v>99</v>
      </c>
      <c r="AA8" s="153" t="s">
        <v>2</v>
      </c>
      <c r="AB8" s="156" t="s">
        <v>1</v>
      </c>
      <c r="AC8" s="190" t="s">
        <v>119</v>
      </c>
      <c r="AD8" s="190" t="s">
        <v>120</v>
      </c>
      <c r="AE8" s="190" t="s">
        <v>121</v>
      </c>
    </row>
    <row r="9" spans="1:31" s="106" customFormat="1" ht="14.4" x14ac:dyDescent="0.3">
      <c r="A9" s="148">
        <v>4.3319999999999999</v>
      </c>
      <c r="B9" s="149">
        <v>70</v>
      </c>
      <c r="C9" s="150">
        <v>9.3249999999999993</v>
      </c>
      <c r="D9" s="151">
        <v>7.87</v>
      </c>
      <c r="E9" s="150">
        <v>-0.89900000000000002</v>
      </c>
      <c r="F9" s="150">
        <v>5.2309999999999999</v>
      </c>
      <c r="G9" s="152">
        <v>0.17430555555555555</v>
      </c>
      <c r="H9" s="151" t="s">
        <v>40</v>
      </c>
      <c r="I9" s="153" t="s">
        <v>41</v>
      </c>
      <c r="J9" s="151" t="s">
        <v>1</v>
      </c>
      <c r="K9" s="152" t="s">
        <v>42</v>
      </c>
      <c r="L9" s="154">
        <v>29</v>
      </c>
      <c r="M9" s="154">
        <v>18</v>
      </c>
      <c r="N9" s="149">
        <v>5</v>
      </c>
      <c r="O9" s="149">
        <v>2</v>
      </c>
      <c r="P9" s="151">
        <v>0.39</v>
      </c>
      <c r="Q9" s="151">
        <v>7.48</v>
      </c>
      <c r="R9" s="149" t="s">
        <v>1</v>
      </c>
      <c r="S9" s="155" t="s">
        <v>1</v>
      </c>
      <c r="T9" s="155" t="s">
        <v>1</v>
      </c>
      <c r="U9" s="151" t="s">
        <v>1</v>
      </c>
      <c r="V9" s="151" t="s">
        <v>1</v>
      </c>
      <c r="W9" s="151" t="s">
        <v>1</v>
      </c>
      <c r="X9" s="151" t="s">
        <v>1</v>
      </c>
      <c r="Y9" s="151" t="s">
        <v>43</v>
      </c>
      <c r="Z9" s="154" t="s">
        <v>99</v>
      </c>
      <c r="AA9" s="153" t="s">
        <v>2</v>
      </c>
      <c r="AB9" s="156" t="s">
        <v>1</v>
      </c>
      <c r="AC9" s="190" t="s">
        <v>122</v>
      </c>
      <c r="AD9" s="190" t="s">
        <v>123</v>
      </c>
      <c r="AE9" s="190" t="s">
        <v>132</v>
      </c>
    </row>
    <row r="10" spans="1:31" s="106" customFormat="1" ht="14.4" x14ac:dyDescent="0.3">
      <c r="A10" s="148">
        <v>4.3319999999999999</v>
      </c>
      <c r="B10" s="149">
        <v>70</v>
      </c>
      <c r="C10" s="150">
        <v>9.3249999999999993</v>
      </c>
      <c r="D10" s="151">
        <v>7.87</v>
      </c>
      <c r="E10" s="150">
        <v>-1.4710000000000001</v>
      </c>
      <c r="F10" s="150">
        <v>5.8029999999999999</v>
      </c>
      <c r="G10" s="152">
        <v>0.20347222222222222</v>
      </c>
      <c r="H10" s="151" t="s">
        <v>40</v>
      </c>
      <c r="I10" s="153" t="s">
        <v>41</v>
      </c>
      <c r="J10" s="151" t="s">
        <v>1</v>
      </c>
      <c r="K10" s="152" t="s">
        <v>42</v>
      </c>
      <c r="L10" s="154">
        <v>15</v>
      </c>
      <c r="M10" s="154">
        <v>15</v>
      </c>
      <c r="N10" s="149">
        <v>11</v>
      </c>
      <c r="O10" s="149">
        <v>7</v>
      </c>
      <c r="P10" s="151">
        <v>0.87</v>
      </c>
      <c r="Q10" s="151">
        <v>7</v>
      </c>
      <c r="R10" s="149" t="s">
        <v>1</v>
      </c>
      <c r="S10" s="155" t="s">
        <v>1</v>
      </c>
      <c r="T10" s="155" t="s">
        <v>1</v>
      </c>
      <c r="U10" s="151">
        <v>0.48</v>
      </c>
      <c r="V10" s="151" t="s">
        <v>1</v>
      </c>
      <c r="W10" s="151" t="s">
        <v>1</v>
      </c>
      <c r="X10" s="151">
        <v>0.4</v>
      </c>
      <c r="Y10" s="151" t="s">
        <v>43</v>
      </c>
      <c r="Z10" s="154" t="s">
        <v>99</v>
      </c>
      <c r="AA10" s="153" t="s">
        <v>2</v>
      </c>
      <c r="AB10" s="156" t="s">
        <v>1</v>
      </c>
      <c r="AC10" s="190" t="s">
        <v>124</v>
      </c>
      <c r="AD10" s="190" t="s">
        <v>125</v>
      </c>
      <c r="AE10" s="190" t="s">
        <v>133</v>
      </c>
    </row>
    <row r="11" spans="1:31" s="106" customFormat="1" ht="14.4" x14ac:dyDescent="0.3">
      <c r="A11" s="148">
        <v>4.3319999999999999</v>
      </c>
      <c r="B11" s="149">
        <v>70</v>
      </c>
      <c r="C11" s="150">
        <v>9.3249999999999993</v>
      </c>
      <c r="D11" s="151">
        <v>7.87</v>
      </c>
      <c r="E11" s="150">
        <v>-1.869</v>
      </c>
      <c r="F11" s="150">
        <v>6.2009999999999996</v>
      </c>
      <c r="G11" s="152">
        <v>0.2048611111111111</v>
      </c>
      <c r="H11" s="151" t="s">
        <v>40</v>
      </c>
      <c r="I11" s="153" t="s">
        <v>41</v>
      </c>
      <c r="J11" s="151" t="s">
        <v>1</v>
      </c>
      <c r="K11" s="152" t="s">
        <v>42</v>
      </c>
      <c r="L11" s="154">
        <v>27</v>
      </c>
      <c r="M11" s="154">
        <v>19</v>
      </c>
      <c r="N11" s="149">
        <v>9</v>
      </c>
      <c r="O11" s="149">
        <v>4</v>
      </c>
      <c r="P11" s="151">
        <v>0.71</v>
      </c>
      <c r="Q11" s="151">
        <v>7.16</v>
      </c>
      <c r="R11" s="149" t="s">
        <v>1</v>
      </c>
      <c r="S11" s="155" t="s">
        <v>1</v>
      </c>
      <c r="T11" s="155" t="s">
        <v>1</v>
      </c>
      <c r="U11" s="151" t="s">
        <v>1</v>
      </c>
      <c r="V11" s="151" t="s">
        <v>1</v>
      </c>
      <c r="W11" s="151" t="s">
        <v>1</v>
      </c>
      <c r="X11" s="151" t="s">
        <v>1</v>
      </c>
      <c r="Y11" s="151" t="s">
        <v>43</v>
      </c>
      <c r="Z11" s="154" t="s">
        <v>99</v>
      </c>
      <c r="AA11" s="153" t="s">
        <v>2</v>
      </c>
      <c r="AB11" s="156" t="s">
        <v>1</v>
      </c>
      <c r="AC11" s="190" t="s">
        <v>126</v>
      </c>
      <c r="AD11" s="190" t="s">
        <v>127</v>
      </c>
      <c r="AE11" s="190" t="s">
        <v>134</v>
      </c>
    </row>
    <row r="12" spans="1:31" s="106" customFormat="1" ht="14.4" x14ac:dyDescent="0.3">
      <c r="A12" s="148">
        <v>4.3319999999999999</v>
      </c>
      <c r="B12" s="149">
        <v>70</v>
      </c>
      <c r="C12" s="150">
        <v>9.3249999999999993</v>
      </c>
      <c r="D12" s="151">
        <v>7.87</v>
      </c>
      <c r="E12" s="150">
        <v>-4.1660000000000004</v>
      </c>
      <c r="F12" s="150">
        <v>8.4979999999999993</v>
      </c>
      <c r="G12" s="152">
        <v>0.47569444444444442</v>
      </c>
      <c r="H12" s="151" t="s">
        <v>40</v>
      </c>
      <c r="I12" s="153" t="s">
        <v>41</v>
      </c>
      <c r="J12" s="151" t="s">
        <v>1</v>
      </c>
      <c r="K12" s="152" t="s">
        <v>42</v>
      </c>
      <c r="L12" s="154">
        <v>15</v>
      </c>
      <c r="M12" s="154">
        <v>15</v>
      </c>
      <c r="N12" s="149">
        <v>6</v>
      </c>
      <c r="O12" s="149">
        <v>4</v>
      </c>
      <c r="P12" s="151">
        <v>0.47</v>
      </c>
      <c r="Q12" s="151">
        <v>7.4</v>
      </c>
      <c r="R12" s="149" t="s">
        <v>1</v>
      </c>
      <c r="S12" s="155" t="s">
        <v>1</v>
      </c>
      <c r="T12" s="155" t="s">
        <v>1</v>
      </c>
      <c r="U12" s="151" t="s">
        <v>1</v>
      </c>
      <c r="V12" s="151" t="s">
        <v>1</v>
      </c>
      <c r="W12" s="151" t="s">
        <v>1</v>
      </c>
      <c r="X12" s="151" t="s">
        <v>1</v>
      </c>
      <c r="Y12" s="151" t="s">
        <v>43</v>
      </c>
      <c r="Z12" s="154" t="s">
        <v>99</v>
      </c>
      <c r="AA12" s="153" t="s">
        <v>2</v>
      </c>
      <c r="AB12" s="156" t="s">
        <v>1</v>
      </c>
      <c r="AC12" s="190" t="s">
        <v>128</v>
      </c>
      <c r="AD12" s="190" t="s">
        <v>129</v>
      </c>
      <c r="AE12" s="190" t="s">
        <v>135</v>
      </c>
    </row>
    <row r="13" spans="1:31" s="106" customFormat="1" ht="14.4" x14ac:dyDescent="0.3">
      <c r="A13" s="148">
        <v>4.3319999999999999</v>
      </c>
      <c r="B13" s="149">
        <v>70</v>
      </c>
      <c r="C13" s="150">
        <v>9.3249999999999993</v>
      </c>
      <c r="D13" s="151">
        <v>7.87</v>
      </c>
      <c r="E13" s="150">
        <v>-4.766</v>
      </c>
      <c r="F13" s="150">
        <v>9.0980000000000008</v>
      </c>
      <c r="G13" s="152">
        <v>0.43958333333333333</v>
      </c>
      <c r="H13" s="151" t="s">
        <v>40</v>
      </c>
      <c r="I13" s="153" t="s">
        <v>41</v>
      </c>
      <c r="J13" s="151" t="s">
        <v>1</v>
      </c>
      <c r="K13" s="152" t="s">
        <v>42</v>
      </c>
      <c r="L13" s="154">
        <v>19</v>
      </c>
      <c r="M13" s="154">
        <v>18</v>
      </c>
      <c r="N13" s="149">
        <v>6</v>
      </c>
      <c r="O13" s="149">
        <v>3</v>
      </c>
      <c r="P13" s="151">
        <v>0.47</v>
      </c>
      <c r="Q13" s="151">
        <v>7.4</v>
      </c>
      <c r="R13" s="149" t="s">
        <v>1</v>
      </c>
      <c r="S13" s="155" t="s">
        <v>1</v>
      </c>
      <c r="T13" s="155" t="s">
        <v>1</v>
      </c>
      <c r="U13" s="151" t="s">
        <v>1</v>
      </c>
      <c r="V13" s="151" t="s">
        <v>1</v>
      </c>
      <c r="W13" s="151" t="s">
        <v>1</v>
      </c>
      <c r="X13" s="151" t="s">
        <v>1</v>
      </c>
      <c r="Y13" s="151" t="s">
        <v>43</v>
      </c>
      <c r="Z13" s="154" t="s">
        <v>99</v>
      </c>
      <c r="AA13" s="153" t="s">
        <v>2</v>
      </c>
      <c r="AB13" s="156" t="s">
        <v>1</v>
      </c>
      <c r="AC13" s="190" t="s">
        <v>130</v>
      </c>
      <c r="AD13" s="190" t="s">
        <v>131</v>
      </c>
      <c r="AE13" s="190" t="s">
        <v>136</v>
      </c>
    </row>
  </sheetData>
  <autoFilter ref="A5:AE13" xr:uid="{00000000-0001-0000-0400-000000000000}">
    <filterColumn colId="2">
      <iconFilter iconSet="3Arrows"/>
    </filterColumn>
  </autoFilter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3"/>
  <sheetViews>
    <sheetView zoomScaleNormal="100" workbookViewId="0">
      <selection activeCell="Z8" sqref="Z8:AB13"/>
    </sheetView>
  </sheetViews>
  <sheetFormatPr defaultRowHeight="14.4" x14ac:dyDescent="0.3"/>
  <cols>
    <col min="1" max="1" width="11.5546875" style="8" customWidth="1"/>
    <col min="2" max="2" width="6" style="8" bestFit="1" customWidth="1"/>
    <col min="3" max="3" width="6.5546875" style="40" bestFit="1" customWidth="1"/>
    <col min="4" max="4" width="8.33203125" style="93" customWidth="1"/>
    <col min="5" max="5" width="7.33203125" style="93" bestFit="1" customWidth="1"/>
    <col min="6" max="6" width="9.5546875" style="93" bestFit="1" customWidth="1"/>
    <col min="7" max="7" width="5.5546875" bestFit="1" customWidth="1"/>
    <col min="8" max="8" width="26.88671875" style="17" customWidth="1"/>
    <col min="9" max="9" width="27.5546875" style="17" customWidth="1"/>
    <col min="10" max="10" width="21.6640625" style="17" customWidth="1"/>
    <col min="11" max="11" width="5.6640625" style="17" bestFit="1" customWidth="1"/>
    <col min="12" max="13" width="5" style="17" bestFit="1" customWidth="1"/>
    <col min="14" max="15" width="3.33203125" style="17" bestFit="1" customWidth="1"/>
    <col min="16" max="21" width="4.5546875" style="17" bestFit="1" customWidth="1"/>
    <col min="22" max="22" width="4.109375" style="17" bestFit="1" customWidth="1"/>
    <col min="23" max="23" width="5.6640625" style="17" bestFit="1" customWidth="1"/>
    <col min="24" max="24" width="3.33203125" style="90" bestFit="1" customWidth="1"/>
    <col min="25" max="25" width="5" style="90" bestFit="1" customWidth="1"/>
    <col min="26" max="26" width="11.5546875" style="138" bestFit="1" customWidth="1"/>
    <col min="27" max="27" width="11.5546875" style="131" bestFit="1" customWidth="1"/>
    <col min="28" max="28" width="8.5546875" bestFit="1" customWidth="1"/>
  </cols>
  <sheetData>
    <row r="1" spans="1:28" ht="15.6" x14ac:dyDescent="0.3">
      <c r="A1" s="9" t="s">
        <v>79</v>
      </c>
      <c r="B1" s="12"/>
      <c r="C1" s="34"/>
      <c r="D1" s="13"/>
      <c r="E1" s="13"/>
      <c r="F1" s="13"/>
      <c r="G1" s="1"/>
    </row>
    <row r="2" spans="1:28" ht="15.6" x14ac:dyDescent="0.3">
      <c r="A2" s="9"/>
      <c r="B2" s="12"/>
      <c r="C2" s="34"/>
      <c r="D2" s="13"/>
      <c r="E2" s="13"/>
      <c r="F2" s="13"/>
      <c r="G2" s="1"/>
    </row>
    <row r="3" spans="1:28" x14ac:dyDescent="0.3">
      <c r="A3" s="36" t="str">
        <f>'Журнал раскладки труб'!A3</f>
        <v>Участок</v>
      </c>
      <c r="B3" s="1"/>
      <c r="C3" s="34"/>
      <c r="D3" s="5"/>
      <c r="E3" s="13"/>
      <c r="F3" s="13"/>
      <c r="G3" s="1"/>
    </row>
    <row r="4" spans="1:28" x14ac:dyDescent="0.3">
      <c r="A4" s="10"/>
      <c r="B4" s="13"/>
      <c r="C4" s="34"/>
      <c r="D4" s="47"/>
      <c r="E4" s="47"/>
      <c r="F4" s="109"/>
      <c r="G4" s="1"/>
    </row>
    <row r="5" spans="1:28" x14ac:dyDescent="0.3">
      <c r="A5" s="11" t="s">
        <v>116</v>
      </c>
      <c r="B5" s="13"/>
      <c r="C5" s="34"/>
      <c r="D5" s="49"/>
      <c r="E5" s="12"/>
      <c r="F5" s="3"/>
      <c r="G5" s="1"/>
    </row>
    <row r="6" spans="1:28" x14ac:dyDescent="0.3">
      <c r="A6" s="11" t="s">
        <v>70</v>
      </c>
      <c r="B6" s="14"/>
      <c r="C6" s="37"/>
      <c r="D6" s="91"/>
      <c r="E6" s="110"/>
      <c r="F6" s="110"/>
      <c r="G6" s="39"/>
    </row>
    <row r="7" spans="1:28" ht="128.25" customHeight="1" x14ac:dyDescent="0.3">
      <c r="A7" s="35" t="s">
        <v>93</v>
      </c>
      <c r="B7" s="35" t="s">
        <v>5</v>
      </c>
      <c r="C7" s="35" t="s">
        <v>6</v>
      </c>
      <c r="D7" s="35" t="s">
        <v>7</v>
      </c>
      <c r="E7" s="35" t="s">
        <v>8</v>
      </c>
      <c r="F7" s="35" t="s">
        <v>4</v>
      </c>
      <c r="G7" s="35" t="s">
        <v>13</v>
      </c>
      <c r="H7" s="35" t="s">
        <v>94</v>
      </c>
      <c r="I7" s="35" t="s">
        <v>10</v>
      </c>
      <c r="J7" s="35" t="s">
        <v>11</v>
      </c>
      <c r="K7" s="35" t="s">
        <v>12</v>
      </c>
      <c r="L7" s="35" t="s">
        <v>14</v>
      </c>
      <c r="M7" s="35" t="s">
        <v>15</v>
      </c>
      <c r="N7" s="35" t="s">
        <v>16</v>
      </c>
      <c r="O7" s="35" t="s">
        <v>17</v>
      </c>
      <c r="P7" s="35" t="s">
        <v>102</v>
      </c>
      <c r="Q7" s="35" t="s">
        <v>19</v>
      </c>
      <c r="R7" s="35" t="s">
        <v>0</v>
      </c>
      <c r="S7" s="35" t="s">
        <v>23</v>
      </c>
      <c r="T7" s="35" t="s">
        <v>24</v>
      </c>
      <c r="U7" s="35" t="s">
        <v>25</v>
      </c>
      <c r="V7" s="35" t="s">
        <v>26</v>
      </c>
      <c r="W7" s="35" t="s">
        <v>96</v>
      </c>
      <c r="X7" s="46" t="s">
        <v>97</v>
      </c>
      <c r="Y7" s="46" t="s">
        <v>98</v>
      </c>
      <c r="Z7" s="132" t="s">
        <v>28</v>
      </c>
      <c r="AA7" s="132" t="s">
        <v>29</v>
      </c>
      <c r="AB7" s="46" t="s">
        <v>30</v>
      </c>
    </row>
    <row r="8" spans="1:28" x14ac:dyDescent="0.3">
      <c r="A8" s="92">
        <v>8635.3719999999994</v>
      </c>
      <c r="B8" s="31">
        <v>8320</v>
      </c>
      <c r="C8" s="22">
        <v>5.9249999999999998</v>
      </c>
      <c r="D8" s="18">
        <v>7.57</v>
      </c>
      <c r="E8" s="22">
        <v>-1.7000000000000001E-2</v>
      </c>
      <c r="F8" s="22">
        <v>8635.3889999999992</v>
      </c>
      <c r="G8" s="19">
        <v>0.22638888888888889</v>
      </c>
      <c r="H8" s="16" t="s">
        <v>40</v>
      </c>
      <c r="I8" s="16" t="s">
        <v>44</v>
      </c>
      <c r="J8" s="16" t="s">
        <v>1</v>
      </c>
      <c r="K8" s="16" t="s">
        <v>45</v>
      </c>
      <c r="L8" s="16">
        <v>428</v>
      </c>
      <c r="M8" s="16">
        <v>116</v>
      </c>
      <c r="N8" s="16">
        <v>40</v>
      </c>
      <c r="O8" s="16">
        <v>7</v>
      </c>
      <c r="P8" s="18">
        <v>3.03</v>
      </c>
      <c r="Q8" s="18">
        <v>4.54</v>
      </c>
      <c r="R8" s="18">
        <v>0.8</v>
      </c>
      <c r="S8" s="18">
        <v>0.64</v>
      </c>
      <c r="T8" s="18">
        <v>0.62</v>
      </c>
      <c r="U8" s="18">
        <v>0.6</v>
      </c>
      <c r="V8" s="16" t="s">
        <v>43</v>
      </c>
      <c r="W8" s="16" t="s">
        <v>100</v>
      </c>
      <c r="X8" s="23" t="s">
        <v>3</v>
      </c>
      <c r="Y8" s="31">
        <v>959</v>
      </c>
      <c r="Z8" s="190" t="s">
        <v>119</v>
      </c>
      <c r="AA8" s="190" t="s">
        <v>120</v>
      </c>
      <c r="AB8" s="190" t="s">
        <v>121</v>
      </c>
    </row>
    <row r="9" spans="1:28" x14ac:dyDescent="0.3">
      <c r="A9" s="92">
        <v>2214.1999999999998</v>
      </c>
      <c r="B9" s="31">
        <v>2120</v>
      </c>
      <c r="C9" s="22">
        <v>11.288</v>
      </c>
      <c r="D9" s="18">
        <v>7.63</v>
      </c>
      <c r="E9" s="22">
        <v>-0.379</v>
      </c>
      <c r="F9" s="22">
        <v>2214.5790000000002</v>
      </c>
      <c r="G9" s="19">
        <v>0.42430555555555555</v>
      </c>
      <c r="H9" s="16" t="s">
        <v>40</v>
      </c>
      <c r="I9" s="16" t="s">
        <v>57</v>
      </c>
      <c r="J9" s="16" t="s">
        <v>1</v>
      </c>
      <c r="K9" s="16" t="s">
        <v>45</v>
      </c>
      <c r="L9" s="16">
        <v>37</v>
      </c>
      <c r="M9" s="16">
        <v>38</v>
      </c>
      <c r="N9" s="16">
        <v>40</v>
      </c>
      <c r="O9" s="16">
        <v>11</v>
      </c>
      <c r="P9" s="18">
        <v>3.05</v>
      </c>
      <c r="Q9" s="18">
        <v>4.58</v>
      </c>
      <c r="R9" s="18">
        <v>0.5</v>
      </c>
      <c r="S9" s="18">
        <v>0.46</v>
      </c>
      <c r="T9" s="18">
        <v>0.46</v>
      </c>
      <c r="U9" s="18">
        <v>0.41</v>
      </c>
      <c r="V9" s="16" t="s">
        <v>49</v>
      </c>
      <c r="W9" s="16" t="s">
        <v>99</v>
      </c>
      <c r="X9" s="23" t="s">
        <v>3</v>
      </c>
      <c r="Y9" s="31">
        <v>1721</v>
      </c>
      <c r="Z9" s="190" t="s">
        <v>122</v>
      </c>
      <c r="AA9" s="190" t="s">
        <v>123</v>
      </c>
      <c r="AB9" s="190" t="s">
        <v>132</v>
      </c>
    </row>
    <row r="10" spans="1:28" x14ac:dyDescent="0.3">
      <c r="A10" s="92">
        <v>8759.9449999999997</v>
      </c>
      <c r="B10" s="31">
        <v>8530</v>
      </c>
      <c r="C10" s="22">
        <v>5.6539999999999999</v>
      </c>
      <c r="D10" s="18">
        <v>8.4</v>
      </c>
      <c r="E10" s="22">
        <v>-3.7370000000000001</v>
      </c>
      <c r="F10" s="22">
        <v>8763.6820000000007</v>
      </c>
      <c r="G10" s="19">
        <v>0.41388888888888886</v>
      </c>
      <c r="H10" s="16" t="s">
        <v>40</v>
      </c>
      <c r="I10" s="16" t="s">
        <v>44</v>
      </c>
      <c r="J10" s="16" t="s">
        <v>1</v>
      </c>
      <c r="K10" s="16" t="s">
        <v>45</v>
      </c>
      <c r="L10" s="16">
        <v>93</v>
      </c>
      <c r="M10" s="16">
        <v>78</v>
      </c>
      <c r="N10" s="16">
        <v>38</v>
      </c>
      <c r="O10" s="16">
        <v>8</v>
      </c>
      <c r="P10" s="18">
        <v>3.19</v>
      </c>
      <c r="Q10" s="18">
        <v>5.21</v>
      </c>
      <c r="R10" s="18">
        <v>0.54</v>
      </c>
      <c r="S10" s="18">
        <v>0.47</v>
      </c>
      <c r="T10" s="18">
        <v>0.51</v>
      </c>
      <c r="U10" s="18">
        <v>0.45</v>
      </c>
      <c r="V10" s="16" t="s">
        <v>43</v>
      </c>
      <c r="W10" s="16" t="s">
        <v>99</v>
      </c>
      <c r="X10" s="23" t="s">
        <v>3</v>
      </c>
      <c r="Y10" s="31">
        <v>1034</v>
      </c>
      <c r="Z10" s="190" t="s">
        <v>124</v>
      </c>
      <c r="AA10" s="190" t="s">
        <v>125</v>
      </c>
      <c r="AB10" s="190" t="s">
        <v>133</v>
      </c>
    </row>
    <row r="11" spans="1:28" x14ac:dyDescent="0.3">
      <c r="A11" s="92">
        <v>13246.334000000001</v>
      </c>
      <c r="B11" s="31">
        <v>12780</v>
      </c>
      <c r="C11" s="22">
        <v>11.182</v>
      </c>
      <c r="D11" s="18">
        <v>7.69</v>
      </c>
      <c r="E11" s="22">
        <v>-8.7189999999999994</v>
      </c>
      <c r="F11" s="22">
        <v>13255.053</v>
      </c>
      <c r="G11" s="19">
        <v>0.37430555555555556</v>
      </c>
      <c r="H11" s="16" t="s">
        <v>40</v>
      </c>
      <c r="I11" s="16" t="s">
        <v>41</v>
      </c>
      <c r="J11" s="16" t="s">
        <v>1</v>
      </c>
      <c r="K11" s="16" t="s">
        <v>45</v>
      </c>
      <c r="L11" s="16">
        <v>174</v>
      </c>
      <c r="M11" s="16">
        <v>33</v>
      </c>
      <c r="N11" s="16">
        <v>36</v>
      </c>
      <c r="O11" s="16">
        <v>9</v>
      </c>
      <c r="P11" s="18">
        <v>2.77</v>
      </c>
      <c r="Q11" s="18">
        <v>4.92</v>
      </c>
      <c r="R11" s="18">
        <v>0.56999999999999995</v>
      </c>
      <c r="S11" s="18">
        <v>0.54</v>
      </c>
      <c r="T11" s="18">
        <v>0.55000000000000004</v>
      </c>
      <c r="U11" s="18">
        <v>0.5</v>
      </c>
      <c r="V11" s="16" t="s">
        <v>43</v>
      </c>
      <c r="W11" s="16" t="s">
        <v>99</v>
      </c>
      <c r="X11" s="23" t="s">
        <v>2</v>
      </c>
      <c r="Y11" s="31" t="s">
        <v>1</v>
      </c>
      <c r="Z11" s="190" t="s">
        <v>126</v>
      </c>
      <c r="AA11" s="190" t="s">
        <v>127</v>
      </c>
      <c r="AB11" s="190" t="s">
        <v>134</v>
      </c>
    </row>
    <row r="12" spans="1:28" x14ac:dyDescent="0.3">
      <c r="A12" s="92">
        <v>409.24400000000003</v>
      </c>
      <c r="B12" s="31">
        <v>460</v>
      </c>
      <c r="C12" s="22">
        <v>11.082000000000001</v>
      </c>
      <c r="D12" s="18">
        <v>7.63</v>
      </c>
      <c r="E12" s="22">
        <v>-1.4E-2</v>
      </c>
      <c r="F12" s="22">
        <v>409.25799999999998</v>
      </c>
      <c r="G12" s="19">
        <v>0.27916666666666667</v>
      </c>
      <c r="H12" s="16" t="s">
        <v>40</v>
      </c>
      <c r="I12" s="16" t="s">
        <v>44</v>
      </c>
      <c r="J12" s="16" t="s">
        <v>1</v>
      </c>
      <c r="K12" s="16" t="s">
        <v>42</v>
      </c>
      <c r="L12" s="16">
        <v>18</v>
      </c>
      <c r="M12" s="16">
        <v>29</v>
      </c>
      <c r="N12" s="16">
        <v>36</v>
      </c>
      <c r="O12" s="16">
        <v>12</v>
      </c>
      <c r="P12" s="18">
        <v>2.75</v>
      </c>
      <c r="Q12" s="18">
        <v>4.88</v>
      </c>
      <c r="R12" s="18">
        <v>0.48</v>
      </c>
      <c r="S12" s="18">
        <v>0.45</v>
      </c>
      <c r="T12" s="18">
        <v>0.45</v>
      </c>
      <c r="U12" s="18">
        <v>0.4</v>
      </c>
      <c r="V12" s="16" t="s">
        <v>43</v>
      </c>
      <c r="W12" s="16" t="s">
        <v>100</v>
      </c>
      <c r="X12" s="23" t="s">
        <v>3</v>
      </c>
      <c r="Y12" s="31">
        <v>16</v>
      </c>
      <c r="Z12" s="190" t="s">
        <v>128</v>
      </c>
      <c r="AA12" s="190" t="s">
        <v>129</v>
      </c>
      <c r="AB12" s="190" t="s">
        <v>135</v>
      </c>
    </row>
    <row r="13" spans="1:28" x14ac:dyDescent="0.3">
      <c r="A13" s="92">
        <v>8804.2649999999994</v>
      </c>
      <c r="B13" s="31">
        <v>8600</v>
      </c>
      <c r="C13" s="22">
        <v>5.673</v>
      </c>
      <c r="D13" s="18">
        <v>7.93</v>
      </c>
      <c r="E13" s="22">
        <v>-5.32</v>
      </c>
      <c r="F13" s="22">
        <v>8809.5849999999991</v>
      </c>
      <c r="G13" s="19">
        <v>0.35902777777777778</v>
      </c>
      <c r="H13" s="16" t="s">
        <v>40</v>
      </c>
      <c r="I13" s="16" t="s">
        <v>44</v>
      </c>
      <c r="J13" s="16" t="s">
        <v>1</v>
      </c>
      <c r="K13" s="16" t="s">
        <v>45</v>
      </c>
      <c r="L13" s="16">
        <v>72</v>
      </c>
      <c r="M13" s="16">
        <v>41</v>
      </c>
      <c r="N13" s="16">
        <v>35</v>
      </c>
      <c r="O13" s="16">
        <v>8</v>
      </c>
      <c r="P13" s="18">
        <v>2.78</v>
      </c>
      <c r="Q13" s="18">
        <v>5.15</v>
      </c>
      <c r="R13" s="18">
        <v>0.52</v>
      </c>
      <c r="S13" s="18">
        <v>0.48</v>
      </c>
      <c r="T13" s="18">
        <v>0.49</v>
      </c>
      <c r="U13" s="18">
        <v>0.43</v>
      </c>
      <c r="V13" s="16" t="s">
        <v>43</v>
      </c>
      <c r="W13" s="16" t="s">
        <v>99</v>
      </c>
      <c r="X13" s="23" t="s">
        <v>3</v>
      </c>
      <c r="Y13" s="31">
        <v>1058</v>
      </c>
      <c r="Z13" s="190" t="s">
        <v>130</v>
      </c>
      <c r="AA13" s="190" t="s">
        <v>131</v>
      </c>
      <c r="AB13" s="190" t="s">
        <v>136</v>
      </c>
    </row>
  </sheetData>
  <pageMargins left="0.7" right="0.7" top="0.75" bottom="0.75" header="0.3" footer="0.3"/>
  <pageSetup paperSize="9" orientation="portrait" horizontalDpi="144" verticalDpi="14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8"/>
  <sheetViews>
    <sheetView zoomScaleNormal="100" workbookViewId="0">
      <selection activeCell="U13" sqref="U13"/>
    </sheetView>
  </sheetViews>
  <sheetFormatPr defaultRowHeight="14.4" x14ac:dyDescent="0.3"/>
  <cols>
    <col min="1" max="1" width="12.5546875" customWidth="1"/>
    <col min="2" max="2" width="6" bestFit="1" customWidth="1"/>
    <col min="3" max="3" width="7" style="17" bestFit="1" customWidth="1"/>
    <col min="4" max="4" width="8.6640625" customWidth="1"/>
    <col min="5" max="5" width="6.33203125" style="15" bestFit="1" customWidth="1"/>
    <col min="6" max="6" width="9.5546875" bestFit="1" customWidth="1"/>
    <col min="7" max="7" width="5.5546875" bestFit="1" customWidth="1"/>
    <col min="8" max="8" width="14" customWidth="1"/>
    <col min="9" max="9" width="11.44140625" customWidth="1"/>
    <col min="10" max="10" width="40.88671875" bestFit="1" customWidth="1"/>
    <col min="11" max="12" width="5" bestFit="1" customWidth="1"/>
    <col min="13" max="13" width="5.5546875" bestFit="1" customWidth="1"/>
    <col min="14" max="14" width="4" bestFit="1" customWidth="1"/>
    <col min="15" max="15" width="3" bestFit="1" customWidth="1"/>
    <col min="16" max="16" width="5.5546875" bestFit="1" customWidth="1"/>
    <col min="17" max="17" width="6" bestFit="1" customWidth="1"/>
    <col min="18" max="18" width="4.5546875" bestFit="1" customWidth="1"/>
    <col min="19" max="19" width="5.6640625" bestFit="1" customWidth="1"/>
    <col min="20" max="21" width="11.5546875" bestFit="1" customWidth="1"/>
    <col min="22" max="22" width="8.5546875" bestFit="1" customWidth="1"/>
  </cols>
  <sheetData>
    <row r="1" spans="1:22" ht="15.6" x14ac:dyDescent="0.3">
      <c r="A1" s="9" t="s">
        <v>80</v>
      </c>
      <c r="B1" s="12"/>
      <c r="C1" s="5"/>
      <c r="D1" s="13"/>
      <c r="E1" s="4"/>
      <c r="F1" s="1"/>
      <c r="G1" s="1"/>
      <c r="J1" s="17"/>
      <c r="T1" s="17"/>
      <c r="V1" s="17"/>
    </row>
    <row r="2" spans="1:22" ht="15.6" x14ac:dyDescent="0.3">
      <c r="A2" s="9"/>
      <c r="B2" s="12"/>
      <c r="C2" s="5"/>
      <c r="D2" s="13"/>
      <c r="E2" s="4"/>
      <c r="F2" s="1"/>
      <c r="G2" s="1"/>
      <c r="J2" s="17"/>
      <c r="T2" s="17"/>
      <c r="V2" s="17"/>
    </row>
    <row r="3" spans="1:22" x14ac:dyDescent="0.3">
      <c r="A3" s="36" t="str">
        <f>'Журнал раскладки труб'!A3</f>
        <v>Участок</v>
      </c>
      <c r="B3" s="1"/>
      <c r="C3" s="5"/>
      <c r="D3" s="1"/>
      <c r="E3" s="3"/>
      <c r="F3" s="1"/>
      <c r="G3" s="1"/>
      <c r="J3" s="17"/>
      <c r="T3" s="17"/>
      <c r="V3" s="17"/>
    </row>
    <row r="4" spans="1:22" x14ac:dyDescent="0.3">
      <c r="A4" s="10"/>
      <c r="B4" s="13"/>
      <c r="C4" s="5"/>
      <c r="D4" s="10"/>
      <c r="E4" s="6"/>
      <c r="F4" s="7"/>
      <c r="G4" s="1"/>
      <c r="J4" s="17"/>
      <c r="T4" s="17"/>
      <c r="V4" s="17"/>
    </row>
    <row r="5" spans="1:22" x14ac:dyDescent="0.3">
      <c r="A5" s="11" t="s">
        <v>116</v>
      </c>
      <c r="B5" s="13"/>
      <c r="C5" s="5"/>
      <c r="D5" s="49"/>
      <c r="E5" s="3"/>
      <c r="F5" s="3"/>
      <c r="G5" s="1"/>
      <c r="J5" s="17"/>
      <c r="T5" s="17"/>
      <c r="V5" s="17"/>
    </row>
    <row r="6" spans="1:22" x14ac:dyDescent="0.3">
      <c r="A6" s="11" t="s">
        <v>70</v>
      </c>
      <c r="B6" s="14"/>
      <c r="C6" s="121"/>
      <c r="D6" s="38"/>
      <c r="E6" s="125"/>
      <c r="F6" s="38"/>
      <c r="G6" s="39"/>
      <c r="J6" s="17"/>
      <c r="T6" s="17"/>
      <c r="V6" s="17"/>
    </row>
    <row r="7" spans="1:22" ht="137.25" customHeight="1" x14ac:dyDescent="0.3">
      <c r="A7" s="111" t="s">
        <v>93</v>
      </c>
      <c r="B7" s="111" t="s">
        <v>5</v>
      </c>
      <c r="C7" s="111" t="s">
        <v>6</v>
      </c>
      <c r="D7" s="111" t="s">
        <v>7</v>
      </c>
      <c r="E7" s="111" t="s">
        <v>103</v>
      </c>
      <c r="F7" s="111" t="s">
        <v>4</v>
      </c>
      <c r="G7" s="111" t="s">
        <v>104</v>
      </c>
      <c r="H7" s="111" t="s">
        <v>71</v>
      </c>
      <c r="I7" s="111" t="s">
        <v>105</v>
      </c>
      <c r="J7" s="111" t="s">
        <v>11</v>
      </c>
      <c r="K7" s="111" t="s">
        <v>14</v>
      </c>
      <c r="L7" s="111" t="s">
        <v>15</v>
      </c>
      <c r="M7" s="111" t="s">
        <v>106</v>
      </c>
      <c r="N7" s="111" t="s">
        <v>107</v>
      </c>
      <c r="O7" s="111" t="s">
        <v>20</v>
      </c>
      <c r="P7" s="111" t="s">
        <v>108</v>
      </c>
      <c r="Q7" s="111" t="s">
        <v>109</v>
      </c>
      <c r="R7" s="111" t="s">
        <v>26</v>
      </c>
      <c r="S7" s="111" t="s">
        <v>96</v>
      </c>
      <c r="T7" s="111" t="s">
        <v>28</v>
      </c>
      <c r="U7" s="111" t="s">
        <v>29</v>
      </c>
      <c r="V7" s="111" t="s">
        <v>30</v>
      </c>
    </row>
    <row r="8" spans="1:22" x14ac:dyDescent="0.3">
      <c r="A8" s="22">
        <v>1885.127</v>
      </c>
      <c r="B8" s="31">
        <v>1770</v>
      </c>
      <c r="C8" s="16">
        <v>11.125999999999999</v>
      </c>
      <c r="D8" s="18">
        <v>7.63</v>
      </c>
      <c r="E8" s="18">
        <v>-10.86</v>
      </c>
      <c r="F8" s="22">
        <v>1895.9870000000001</v>
      </c>
      <c r="G8" s="19">
        <v>0.43194444444444446</v>
      </c>
      <c r="H8" s="16" t="s">
        <v>58</v>
      </c>
      <c r="I8" s="16" t="s">
        <v>66</v>
      </c>
      <c r="J8" s="16" t="s">
        <v>67</v>
      </c>
      <c r="K8" s="16">
        <v>79</v>
      </c>
      <c r="L8" s="16">
        <v>13</v>
      </c>
      <c r="M8" s="18">
        <v>6.82</v>
      </c>
      <c r="N8" s="16">
        <v>89</v>
      </c>
      <c r="O8" s="16">
        <v>11</v>
      </c>
      <c r="P8" s="18">
        <v>3.1</v>
      </c>
      <c r="Q8" s="18">
        <v>3.91</v>
      </c>
      <c r="R8" s="16" t="s">
        <v>61</v>
      </c>
      <c r="S8" s="16" t="s">
        <v>99</v>
      </c>
      <c r="T8" s="190" t="s">
        <v>124</v>
      </c>
      <c r="U8" s="190" t="s">
        <v>125</v>
      </c>
      <c r="V8" s="190" t="s">
        <v>133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"/>
  <sheetViews>
    <sheetView zoomScaleNormal="100" workbookViewId="0">
      <selection activeCell="G5" sqref="G5"/>
    </sheetView>
  </sheetViews>
  <sheetFormatPr defaultRowHeight="14.4" x14ac:dyDescent="0.3"/>
  <cols>
    <col min="1" max="1" width="13" style="8" customWidth="1"/>
    <col min="2" max="2" width="8.88671875" style="8" customWidth="1"/>
    <col min="3" max="3" width="7.6640625" style="8" customWidth="1"/>
    <col min="4" max="4" width="7" customWidth="1"/>
    <col min="5" max="5" width="9.44140625" customWidth="1"/>
    <col min="6" max="6" width="17" customWidth="1"/>
    <col min="7" max="7" width="12.88671875" customWidth="1"/>
    <col min="8" max="8" width="12.5546875" customWidth="1"/>
    <col min="9" max="9" width="9.109375" customWidth="1"/>
    <col min="10" max="10" width="5.6640625" style="43" customWidth="1"/>
    <col min="11" max="11" width="5.5546875" style="43" bestFit="1" customWidth="1"/>
    <col min="12" max="12" width="7.88671875" customWidth="1"/>
    <col min="13" max="13" width="9.5546875" customWidth="1"/>
    <col min="14" max="14" width="6.44140625" style="17" customWidth="1"/>
    <col min="15" max="15" width="17.5546875" bestFit="1" customWidth="1"/>
    <col min="16" max="16" width="4.5546875" bestFit="1" customWidth="1"/>
    <col min="17" max="17" width="15.44140625" bestFit="1" customWidth="1"/>
    <col min="18" max="18" width="15" bestFit="1" customWidth="1"/>
    <col min="19" max="19" width="8" bestFit="1" customWidth="1"/>
  </cols>
  <sheetData>
    <row r="1" spans="1:19" ht="15.6" x14ac:dyDescent="0.3">
      <c r="A1" s="9" t="s">
        <v>81</v>
      </c>
      <c r="B1" s="12"/>
      <c r="C1" s="13"/>
      <c r="D1" s="4"/>
      <c r="E1" s="1"/>
    </row>
    <row r="2" spans="1:19" ht="15.6" x14ac:dyDescent="0.3">
      <c r="A2" s="9"/>
      <c r="B2" s="12"/>
      <c r="C2" s="13"/>
      <c r="D2" s="4"/>
      <c r="E2" s="1"/>
    </row>
    <row r="3" spans="1:19" x14ac:dyDescent="0.3">
      <c r="A3" s="36" t="str">
        <f>'Журнал раскладки труб'!A3</f>
        <v>Участок</v>
      </c>
      <c r="B3" s="1"/>
      <c r="C3" s="1"/>
      <c r="D3" s="1"/>
      <c r="E3" s="1"/>
    </row>
    <row r="4" spans="1:19" x14ac:dyDescent="0.3">
      <c r="A4" s="10"/>
      <c r="B4" s="13"/>
      <c r="C4" s="10"/>
      <c r="D4" s="6"/>
      <c r="E4" s="1"/>
    </row>
    <row r="5" spans="1:19" x14ac:dyDescent="0.3">
      <c r="A5" s="11" t="s">
        <v>116</v>
      </c>
      <c r="B5" s="13"/>
      <c r="C5" s="20"/>
      <c r="D5" s="12"/>
      <c r="E5" s="1"/>
    </row>
    <row r="6" spans="1:19" x14ac:dyDescent="0.3">
      <c r="A6" s="11" t="s">
        <v>70</v>
      </c>
      <c r="B6" s="14"/>
      <c r="C6" s="38"/>
      <c r="D6" s="38"/>
      <c r="E6" s="39"/>
    </row>
    <row r="7" spans="1:19" ht="150.75" customHeight="1" x14ac:dyDescent="0.3">
      <c r="A7" s="111" t="s">
        <v>93</v>
      </c>
      <c r="B7" s="111" t="s">
        <v>5</v>
      </c>
      <c r="C7" s="111" t="s">
        <v>6</v>
      </c>
      <c r="D7" s="111" t="s">
        <v>7</v>
      </c>
      <c r="E7" s="111" t="s">
        <v>8</v>
      </c>
      <c r="F7" s="111" t="s">
        <v>4</v>
      </c>
      <c r="G7" s="111" t="s">
        <v>13</v>
      </c>
      <c r="H7" s="111" t="s">
        <v>94</v>
      </c>
      <c r="I7" s="111" t="s">
        <v>10</v>
      </c>
      <c r="J7" s="111" t="s">
        <v>14</v>
      </c>
      <c r="K7" s="111" t="s">
        <v>15</v>
      </c>
      <c r="L7" s="111" t="s">
        <v>21</v>
      </c>
      <c r="M7" s="111" t="s">
        <v>22</v>
      </c>
      <c r="N7" s="111" t="s">
        <v>26</v>
      </c>
      <c r="O7" s="111" t="s">
        <v>11</v>
      </c>
      <c r="P7" s="111" t="s">
        <v>96</v>
      </c>
      <c r="Q7" s="111" t="s">
        <v>28</v>
      </c>
      <c r="R7" s="111" t="s">
        <v>29</v>
      </c>
      <c r="S7" s="111" t="s">
        <v>30</v>
      </c>
    </row>
    <row r="8" spans="1:19" x14ac:dyDescent="0.3">
      <c r="A8" s="22"/>
      <c r="B8" s="31"/>
      <c r="C8" s="22"/>
      <c r="D8" s="18"/>
      <c r="E8" s="22"/>
      <c r="F8" s="16"/>
      <c r="G8" s="19"/>
      <c r="H8" s="31"/>
      <c r="I8" s="16"/>
      <c r="J8" s="31"/>
      <c r="K8" s="31"/>
      <c r="L8" s="42"/>
      <c r="M8" s="42"/>
      <c r="N8" s="18"/>
      <c r="O8" s="23"/>
      <c r="P8" s="23"/>
      <c r="Q8" s="185"/>
      <c r="R8" s="185"/>
      <c r="S8" s="170"/>
    </row>
  </sheetData>
  <pageMargins left="0.7" right="0.7" top="0.75" bottom="0.75" header="0.3" footer="0.3"/>
  <pageSetup paperSize="9" orientation="portrait" horizontalDpi="144" verticalDpi="14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8"/>
  <sheetViews>
    <sheetView zoomScaleNormal="100" workbookViewId="0">
      <selection activeCell="E4" sqref="E4"/>
    </sheetView>
  </sheetViews>
  <sheetFormatPr defaultColWidth="9.109375" defaultRowHeight="13.2" x14ac:dyDescent="0.25"/>
  <cols>
    <col min="1" max="1" width="14" style="74" customWidth="1"/>
    <col min="2" max="2" width="6.109375" style="81" bestFit="1" customWidth="1"/>
    <col min="3" max="3" width="14.5546875" style="81" bestFit="1" customWidth="1"/>
    <col min="4" max="4" width="5.6640625" style="76" bestFit="1" customWidth="1"/>
    <col min="5" max="5" width="7.33203125" style="76" bestFit="1" customWidth="1"/>
    <col min="6" max="6" width="11.5546875" style="74" bestFit="1" customWidth="1"/>
    <col min="7" max="7" width="17.5546875" style="55" bestFit="1" customWidth="1"/>
    <col min="8" max="8" width="28.5546875" style="74" bestFit="1" customWidth="1"/>
    <col min="9" max="9" width="5.88671875" style="54" bestFit="1" customWidth="1"/>
    <col min="10" max="10" width="5.6640625" style="55" bestFit="1" customWidth="1"/>
    <col min="11" max="12" width="5.109375" style="54" bestFit="1" customWidth="1"/>
    <col min="13" max="13" width="5" style="54" bestFit="1" customWidth="1"/>
    <col min="14" max="14" width="3.5546875" style="54" bestFit="1" customWidth="1"/>
    <col min="15" max="15" width="3.5546875" style="79" bestFit="1" customWidth="1"/>
    <col min="16" max="16" width="4.6640625" style="79" bestFit="1" customWidth="1"/>
    <col min="17" max="18" width="3.5546875" style="79" bestFit="1" customWidth="1"/>
    <col min="19" max="19" width="3.5546875" style="55" bestFit="1" customWidth="1"/>
    <col min="20" max="20" width="4.88671875" style="55" bestFit="1" customWidth="1"/>
    <col min="21" max="21" width="4.5546875" style="54" bestFit="1" customWidth="1"/>
    <col min="22" max="22" width="4.6640625" style="81" bestFit="1" customWidth="1"/>
    <col min="23" max="23" width="4.88671875" style="81" bestFit="1" customWidth="1"/>
    <col min="24" max="24" width="4.88671875" style="137" bestFit="1" customWidth="1"/>
    <col min="25" max="25" width="4.5546875" style="137" bestFit="1" customWidth="1"/>
    <col min="26" max="26" width="30" style="56" bestFit="1" customWidth="1"/>
    <col min="27" max="28" width="11.5546875" style="56" bestFit="1" customWidth="1"/>
    <col min="29" max="29" width="8" style="56" bestFit="1" customWidth="1"/>
    <col min="30" max="16384" width="9.109375" style="56"/>
  </cols>
  <sheetData>
    <row r="1" spans="1:29" ht="15.6" x14ac:dyDescent="0.3">
      <c r="A1" s="50" t="s">
        <v>82</v>
      </c>
      <c r="B1" s="96"/>
      <c r="C1" s="96"/>
      <c r="D1" s="52"/>
      <c r="E1" s="52"/>
      <c r="F1" s="94"/>
      <c r="G1" s="112"/>
      <c r="H1" s="94"/>
      <c r="I1" s="53"/>
      <c r="J1" s="127"/>
      <c r="K1" s="53"/>
      <c r="L1" s="53"/>
      <c r="M1" s="53"/>
    </row>
    <row r="2" spans="1:29" ht="15.6" x14ac:dyDescent="0.3">
      <c r="A2" s="50"/>
      <c r="B2" s="96"/>
      <c r="C2" s="96"/>
      <c r="D2" s="52"/>
      <c r="E2" s="52"/>
      <c r="F2" s="94"/>
      <c r="G2" s="112"/>
      <c r="H2" s="94"/>
      <c r="I2" s="53"/>
      <c r="J2" s="127"/>
      <c r="K2" s="53"/>
      <c r="L2" s="53"/>
      <c r="M2" s="53"/>
    </row>
    <row r="3" spans="1:29" x14ac:dyDescent="0.25">
      <c r="A3" s="57" t="str">
        <f>'Журнал раскладки труб'!A3</f>
        <v>Участок</v>
      </c>
      <c r="B3" s="97"/>
      <c r="C3" s="97"/>
      <c r="D3" s="59"/>
      <c r="E3" s="59"/>
      <c r="F3" s="95"/>
      <c r="G3" s="113"/>
      <c r="H3" s="95"/>
      <c r="I3" s="61"/>
      <c r="J3" s="84"/>
      <c r="K3" s="61"/>
      <c r="L3" s="61"/>
      <c r="M3" s="61"/>
    </row>
    <row r="4" spans="1:29" x14ac:dyDescent="0.25">
      <c r="A4" s="62"/>
      <c r="B4" s="80"/>
      <c r="C4" s="80"/>
      <c r="D4" s="63"/>
      <c r="E4" s="63"/>
      <c r="F4" s="85"/>
      <c r="G4" s="84"/>
      <c r="H4" s="85"/>
      <c r="I4" s="53"/>
      <c r="J4" s="127"/>
      <c r="K4" s="53"/>
      <c r="L4" s="53"/>
      <c r="M4" s="53"/>
    </row>
    <row r="5" spans="1:29" x14ac:dyDescent="0.25">
      <c r="A5" s="11" t="s">
        <v>116</v>
      </c>
      <c r="B5" s="65"/>
      <c r="C5" s="65"/>
      <c r="D5" s="66"/>
      <c r="E5" s="66"/>
      <c r="F5" s="67"/>
      <c r="G5" s="68"/>
      <c r="H5" s="67"/>
      <c r="I5" s="53"/>
      <c r="J5" s="127"/>
    </row>
    <row r="6" spans="1:29" x14ac:dyDescent="0.25">
      <c r="A6" s="11" t="s">
        <v>70</v>
      </c>
      <c r="B6" s="65"/>
      <c r="C6" s="69"/>
      <c r="D6" s="66"/>
      <c r="E6" s="66"/>
      <c r="F6" s="67"/>
      <c r="G6" s="70"/>
      <c r="H6" s="67"/>
      <c r="I6" s="71"/>
      <c r="J6" s="68"/>
    </row>
    <row r="7" spans="1:29" ht="150.75" customHeight="1" x14ac:dyDescent="0.25">
      <c r="A7" s="72" t="s">
        <v>4</v>
      </c>
      <c r="B7" s="72" t="s">
        <v>5</v>
      </c>
      <c r="C7" s="72" t="s">
        <v>6</v>
      </c>
      <c r="D7" s="72" t="s">
        <v>7</v>
      </c>
      <c r="E7" s="72" t="s">
        <v>8</v>
      </c>
      <c r="F7" s="72" t="s">
        <v>94</v>
      </c>
      <c r="G7" s="72" t="s">
        <v>10</v>
      </c>
      <c r="H7" s="72" t="s">
        <v>11</v>
      </c>
      <c r="I7" s="72" t="s">
        <v>12</v>
      </c>
      <c r="J7" s="124" t="s">
        <v>13</v>
      </c>
      <c r="K7" s="72" t="s">
        <v>19</v>
      </c>
      <c r="L7" s="72" t="s">
        <v>14</v>
      </c>
      <c r="M7" s="72" t="s">
        <v>15</v>
      </c>
      <c r="N7" s="72" t="s">
        <v>16</v>
      </c>
      <c r="O7" s="72" t="s">
        <v>17</v>
      </c>
      <c r="P7" s="72" t="s">
        <v>18</v>
      </c>
      <c r="Q7" s="72" t="s">
        <v>20</v>
      </c>
      <c r="R7" s="72" t="s">
        <v>21</v>
      </c>
      <c r="S7" s="72" t="s">
        <v>22</v>
      </c>
      <c r="T7" s="72" t="s">
        <v>0</v>
      </c>
      <c r="U7" s="72" t="s">
        <v>23</v>
      </c>
      <c r="V7" s="73" t="s">
        <v>24</v>
      </c>
      <c r="W7" s="73" t="s">
        <v>25</v>
      </c>
      <c r="X7" s="134" t="s">
        <v>26</v>
      </c>
      <c r="Y7" s="134" t="s">
        <v>96</v>
      </c>
      <c r="Z7" s="72" t="s">
        <v>110</v>
      </c>
      <c r="AA7" s="132" t="s">
        <v>28</v>
      </c>
      <c r="AB7" s="132" t="s">
        <v>29</v>
      </c>
      <c r="AC7" s="72" t="s">
        <v>30</v>
      </c>
    </row>
    <row r="8" spans="1:29" ht="14.4" x14ac:dyDescent="0.3">
      <c r="A8" s="139"/>
      <c r="B8" s="140"/>
      <c r="C8" s="139"/>
      <c r="D8" s="141"/>
      <c r="E8" s="139"/>
      <c r="F8" s="139"/>
      <c r="G8" s="141"/>
      <c r="H8" s="139"/>
      <c r="I8" s="142"/>
      <c r="J8" s="142"/>
      <c r="K8" s="143"/>
      <c r="L8" s="143"/>
      <c r="M8" s="143"/>
      <c r="N8" s="143"/>
      <c r="O8" s="140"/>
      <c r="P8" s="141"/>
      <c r="Q8" s="140"/>
      <c r="R8" s="144"/>
      <c r="S8" s="144"/>
      <c r="T8" s="141"/>
      <c r="U8" s="141"/>
      <c r="V8" s="141"/>
      <c r="W8" s="141"/>
      <c r="X8" s="146"/>
      <c r="Y8" s="146"/>
      <c r="Z8" s="145"/>
      <c r="AA8" s="187"/>
      <c r="AB8" s="187"/>
      <c r="AC8" s="188"/>
    </row>
  </sheetData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3"/>
  <sheetViews>
    <sheetView topLeftCell="B3" zoomScaleNormal="100" zoomScaleSheetLayoutView="100" workbookViewId="0">
      <selection activeCell="AB8" sqref="AB8:AD13"/>
    </sheetView>
  </sheetViews>
  <sheetFormatPr defaultColWidth="9.109375" defaultRowHeight="13.2" x14ac:dyDescent="0.25"/>
  <cols>
    <col min="1" max="1" width="12.88671875" style="77" customWidth="1"/>
    <col min="2" max="2" width="7.44140625" style="76" bestFit="1" customWidth="1"/>
    <col min="3" max="3" width="7.109375" style="81" bestFit="1" customWidth="1"/>
    <col min="4" max="4" width="6" style="55" bestFit="1" customWidth="1"/>
    <col min="5" max="5" width="7.33203125" style="81" bestFit="1" customWidth="1"/>
    <col min="6" max="6" width="26.44140625" style="74" customWidth="1"/>
    <col min="7" max="7" width="23.33203125" style="55" customWidth="1"/>
    <col min="8" max="8" width="24.6640625" style="74" bestFit="1" customWidth="1"/>
    <col min="9" max="9" width="5.5546875" style="54" bestFit="1" customWidth="1"/>
    <col min="10" max="10" width="5.5546875" style="55" bestFit="1" customWidth="1"/>
    <col min="11" max="12" width="5" style="54" bestFit="1" customWidth="1"/>
    <col min="13" max="13" width="3" style="54" bestFit="1" customWidth="1"/>
    <col min="14" max="14" width="3" style="76" bestFit="1" customWidth="1"/>
    <col min="15" max="16" width="4.5546875" style="55" bestFit="1" customWidth="1"/>
    <col min="17" max="17" width="4.33203125" style="76" bestFit="1" customWidth="1"/>
    <col min="18" max="19" width="4.33203125" style="55" bestFit="1" customWidth="1"/>
    <col min="20" max="20" width="5" style="55" bestFit="1" customWidth="1"/>
    <col min="21" max="22" width="5" style="54" bestFit="1" customWidth="1"/>
    <col min="23" max="24" width="5" style="81" bestFit="1" customWidth="1"/>
    <col min="25" max="25" width="5.6640625" style="133" bestFit="1" customWidth="1"/>
    <col min="26" max="26" width="17.88671875" style="133" bestFit="1" customWidth="1"/>
    <col min="27" max="27" width="30" style="56" bestFit="1" customWidth="1"/>
    <col min="28" max="29" width="11.5546875" style="137" bestFit="1" customWidth="1"/>
    <col min="30" max="30" width="8.5546875" style="56" bestFit="1" customWidth="1"/>
    <col min="31" max="16384" width="9.109375" style="56"/>
  </cols>
  <sheetData>
    <row r="1" spans="1:30" ht="15.6" x14ac:dyDescent="0.3">
      <c r="A1" s="50" t="s">
        <v>83</v>
      </c>
      <c r="B1" s="98"/>
      <c r="C1" s="78"/>
      <c r="D1" s="127"/>
      <c r="E1" s="78"/>
    </row>
    <row r="2" spans="1:30" ht="15.6" x14ac:dyDescent="0.3">
      <c r="A2" s="50"/>
      <c r="B2" s="98"/>
      <c r="C2" s="78"/>
      <c r="D2" s="127"/>
      <c r="E2" s="78"/>
    </row>
    <row r="3" spans="1:30" x14ac:dyDescent="0.25">
      <c r="A3" s="57" t="str">
        <f>'Журнал раскладки труб'!A3</f>
        <v>Участок</v>
      </c>
      <c r="B3" s="63"/>
      <c r="C3" s="80"/>
      <c r="D3" s="84"/>
      <c r="E3" s="80"/>
    </row>
    <row r="4" spans="1:30" x14ac:dyDescent="0.25">
      <c r="A4" s="62"/>
      <c r="B4" s="98"/>
      <c r="C4" s="78"/>
      <c r="D4" s="127"/>
      <c r="E4" s="78"/>
    </row>
    <row r="5" spans="1:30" x14ac:dyDescent="0.25">
      <c r="A5" s="11" t="s">
        <v>116</v>
      </c>
      <c r="B5" s="98"/>
      <c r="D5" s="68"/>
      <c r="E5" s="65"/>
      <c r="F5" s="65"/>
    </row>
    <row r="6" spans="1:30" x14ac:dyDescent="0.25">
      <c r="A6" s="11" t="s">
        <v>70</v>
      </c>
      <c r="B6" s="66"/>
      <c r="D6" s="68"/>
      <c r="E6" s="69"/>
      <c r="F6" s="69"/>
    </row>
    <row r="7" spans="1:30" ht="138.75" customHeight="1" x14ac:dyDescent="0.25">
      <c r="A7" s="72" t="s">
        <v>4</v>
      </c>
      <c r="B7" s="123" t="s">
        <v>5</v>
      </c>
      <c r="C7" s="72" t="s">
        <v>6</v>
      </c>
      <c r="D7" s="124" t="s">
        <v>7</v>
      </c>
      <c r="E7" s="72" t="s">
        <v>8</v>
      </c>
      <c r="F7" s="72" t="s">
        <v>94</v>
      </c>
      <c r="G7" s="72" t="s">
        <v>10</v>
      </c>
      <c r="H7" s="72" t="s">
        <v>11</v>
      </c>
      <c r="I7" s="72" t="s">
        <v>12</v>
      </c>
      <c r="J7" s="124" t="s">
        <v>13</v>
      </c>
      <c r="K7" s="72" t="s">
        <v>14</v>
      </c>
      <c r="L7" s="72" t="s">
        <v>15</v>
      </c>
      <c r="M7" s="72" t="s">
        <v>111</v>
      </c>
      <c r="N7" s="72" t="s">
        <v>17</v>
      </c>
      <c r="O7" s="124" t="s">
        <v>18</v>
      </c>
      <c r="P7" s="124" t="s">
        <v>19</v>
      </c>
      <c r="Q7" s="123" t="s">
        <v>20</v>
      </c>
      <c r="R7" s="72" t="s">
        <v>21</v>
      </c>
      <c r="S7" s="72" t="s">
        <v>22</v>
      </c>
      <c r="T7" s="72" t="s">
        <v>0</v>
      </c>
      <c r="U7" s="72" t="s">
        <v>23</v>
      </c>
      <c r="V7" s="72" t="s">
        <v>24</v>
      </c>
      <c r="W7" s="73" t="s">
        <v>25</v>
      </c>
      <c r="X7" s="73" t="s">
        <v>26</v>
      </c>
      <c r="Y7" s="134" t="s">
        <v>96</v>
      </c>
      <c r="Z7" s="134" t="s">
        <v>112</v>
      </c>
      <c r="AA7" s="72" t="s">
        <v>110</v>
      </c>
      <c r="AB7" s="132" t="s">
        <v>28</v>
      </c>
      <c r="AC7" s="132" t="s">
        <v>29</v>
      </c>
      <c r="AD7" s="72" t="s">
        <v>30</v>
      </c>
    </row>
    <row r="8" spans="1:30" ht="14.4" x14ac:dyDescent="0.3">
      <c r="A8" s="100">
        <v>13.667999999999999</v>
      </c>
      <c r="B8" s="102">
        <v>80</v>
      </c>
      <c r="C8" s="100">
        <v>6.1740000000000004</v>
      </c>
      <c r="D8" s="105">
        <v>7.4</v>
      </c>
      <c r="E8" s="100">
        <v>-1.0999999999999999E-2</v>
      </c>
      <c r="F8" s="100" t="s">
        <v>40</v>
      </c>
      <c r="G8" s="105" t="s">
        <v>44</v>
      </c>
      <c r="H8" s="100" t="s">
        <v>1</v>
      </c>
      <c r="I8" s="103" t="s">
        <v>45</v>
      </c>
      <c r="J8" s="19">
        <v>0.18124999999999999</v>
      </c>
      <c r="K8" s="104">
        <v>976</v>
      </c>
      <c r="L8" s="104">
        <v>218</v>
      </c>
      <c r="M8" s="104">
        <v>20</v>
      </c>
      <c r="N8" s="102">
        <v>3</v>
      </c>
      <c r="O8" s="105">
        <v>1.48</v>
      </c>
      <c r="P8" s="105">
        <v>5.92</v>
      </c>
      <c r="Q8" s="102" t="s">
        <v>1</v>
      </c>
      <c r="R8" s="186" t="s">
        <v>1</v>
      </c>
      <c r="S8" s="186" t="s">
        <v>1</v>
      </c>
      <c r="T8" s="105">
        <v>0.6</v>
      </c>
      <c r="U8" s="105">
        <v>0.53</v>
      </c>
      <c r="V8" s="105">
        <v>0.52</v>
      </c>
      <c r="W8" s="105">
        <v>0.49</v>
      </c>
      <c r="X8" s="130" t="s">
        <v>43</v>
      </c>
      <c r="Y8" s="135" t="s">
        <v>100</v>
      </c>
      <c r="Z8" s="145" t="s">
        <v>50</v>
      </c>
      <c r="AA8" s="145" t="s">
        <v>113</v>
      </c>
      <c r="AB8" s="190" t="s">
        <v>119</v>
      </c>
      <c r="AC8" s="190" t="s">
        <v>120</v>
      </c>
      <c r="AD8" s="190" t="s">
        <v>121</v>
      </c>
    </row>
    <row r="9" spans="1:30" ht="14.4" x14ac:dyDescent="0.3">
      <c r="A9" s="100">
        <v>364.86799999999999</v>
      </c>
      <c r="B9" s="102">
        <v>420</v>
      </c>
      <c r="C9" s="100">
        <v>11.222</v>
      </c>
      <c r="D9" s="105">
        <v>7.45</v>
      </c>
      <c r="E9" s="100">
        <v>-2E-3</v>
      </c>
      <c r="F9" s="100" t="s">
        <v>40</v>
      </c>
      <c r="G9" s="105" t="s">
        <v>41</v>
      </c>
      <c r="H9" s="100" t="s">
        <v>1</v>
      </c>
      <c r="I9" s="103" t="s">
        <v>45</v>
      </c>
      <c r="J9" s="19">
        <v>0.11388888888888889</v>
      </c>
      <c r="K9" s="104">
        <v>33</v>
      </c>
      <c r="L9" s="104">
        <v>115</v>
      </c>
      <c r="M9" s="104">
        <v>34</v>
      </c>
      <c r="N9" s="102">
        <v>14</v>
      </c>
      <c r="O9" s="105">
        <v>2.5299999999999998</v>
      </c>
      <c r="P9" s="105">
        <v>4.92</v>
      </c>
      <c r="Q9" s="102" t="s">
        <v>1</v>
      </c>
      <c r="R9" s="186" t="s">
        <v>1</v>
      </c>
      <c r="S9" s="186" t="s">
        <v>1</v>
      </c>
      <c r="T9" s="105">
        <v>0.49</v>
      </c>
      <c r="U9" s="105">
        <v>0.45</v>
      </c>
      <c r="V9" s="105">
        <v>0.46</v>
      </c>
      <c r="W9" s="105">
        <v>0.41</v>
      </c>
      <c r="X9" s="130" t="s">
        <v>43</v>
      </c>
      <c r="Y9" s="135" t="s">
        <v>100</v>
      </c>
      <c r="Z9" s="145" t="s">
        <v>50</v>
      </c>
      <c r="AA9" s="145" t="s">
        <v>114</v>
      </c>
      <c r="AB9" s="190" t="s">
        <v>122</v>
      </c>
      <c r="AC9" s="190" t="s">
        <v>123</v>
      </c>
      <c r="AD9" s="190" t="s">
        <v>132</v>
      </c>
    </row>
    <row r="10" spans="1:30" ht="14.4" x14ac:dyDescent="0.3">
      <c r="A10" s="100">
        <v>409.13099999999997</v>
      </c>
      <c r="B10" s="102">
        <v>450</v>
      </c>
      <c r="C10" s="100">
        <v>11.281000000000001</v>
      </c>
      <c r="D10" s="105">
        <v>7.69</v>
      </c>
      <c r="E10" s="100">
        <v>-11.167999999999999</v>
      </c>
      <c r="F10" s="100" t="s">
        <v>40</v>
      </c>
      <c r="G10" s="105" t="s">
        <v>44</v>
      </c>
      <c r="H10" s="100" t="s">
        <v>1</v>
      </c>
      <c r="I10" s="103" t="s">
        <v>62</v>
      </c>
      <c r="J10" s="19">
        <v>0.22013888888888888</v>
      </c>
      <c r="K10" s="104">
        <v>20</v>
      </c>
      <c r="L10" s="104">
        <v>140</v>
      </c>
      <c r="M10" s="104">
        <v>23</v>
      </c>
      <c r="N10" s="102">
        <v>8</v>
      </c>
      <c r="O10" s="105">
        <v>1.77</v>
      </c>
      <c r="P10" s="105">
        <v>5.92</v>
      </c>
      <c r="Q10" s="102" t="s">
        <v>1</v>
      </c>
      <c r="R10" s="186" t="s">
        <v>1</v>
      </c>
      <c r="S10" s="186" t="s">
        <v>1</v>
      </c>
      <c r="T10" s="105">
        <v>0.48</v>
      </c>
      <c r="U10" s="105">
        <v>0.45</v>
      </c>
      <c r="V10" s="105">
        <v>0.45</v>
      </c>
      <c r="W10" s="105">
        <v>0.4</v>
      </c>
      <c r="X10" s="130" t="s">
        <v>43</v>
      </c>
      <c r="Y10" s="135" t="s">
        <v>101</v>
      </c>
      <c r="Z10" s="145" t="s">
        <v>50</v>
      </c>
      <c r="AA10" s="145" t="s">
        <v>114</v>
      </c>
      <c r="AB10" s="190" t="s">
        <v>124</v>
      </c>
      <c r="AC10" s="190" t="s">
        <v>125</v>
      </c>
      <c r="AD10" s="190" t="s">
        <v>133</v>
      </c>
    </row>
    <row r="11" spans="1:30" ht="14.4" x14ac:dyDescent="0.3">
      <c r="A11" s="100">
        <v>409.202</v>
      </c>
      <c r="B11" s="102">
        <v>450</v>
      </c>
      <c r="C11" s="100">
        <v>11.281000000000001</v>
      </c>
      <c r="D11" s="105">
        <v>7.69</v>
      </c>
      <c r="E11" s="100">
        <v>-11.239000000000001</v>
      </c>
      <c r="F11" s="100" t="s">
        <v>40</v>
      </c>
      <c r="G11" s="105" t="s">
        <v>44</v>
      </c>
      <c r="H11" s="100" t="s">
        <v>1</v>
      </c>
      <c r="I11" s="103" t="s">
        <v>62</v>
      </c>
      <c r="J11" s="19">
        <v>0.22500000000000001</v>
      </c>
      <c r="K11" s="104">
        <v>23</v>
      </c>
      <c r="L11" s="104">
        <v>53</v>
      </c>
      <c r="M11" s="104">
        <v>22</v>
      </c>
      <c r="N11" s="102">
        <v>7</v>
      </c>
      <c r="O11" s="105">
        <v>1.69</v>
      </c>
      <c r="P11" s="105">
        <v>6</v>
      </c>
      <c r="Q11" s="102" t="s">
        <v>1</v>
      </c>
      <c r="R11" s="186" t="s">
        <v>1</v>
      </c>
      <c r="S11" s="186" t="s">
        <v>1</v>
      </c>
      <c r="T11" s="105">
        <v>0.48</v>
      </c>
      <c r="U11" s="105">
        <v>0.45</v>
      </c>
      <c r="V11" s="105">
        <v>0.45</v>
      </c>
      <c r="W11" s="105">
        <v>0.4</v>
      </c>
      <c r="X11" s="130" t="s">
        <v>43</v>
      </c>
      <c r="Y11" s="135" t="s">
        <v>101</v>
      </c>
      <c r="Z11" s="145" t="s">
        <v>50</v>
      </c>
      <c r="AA11" s="145" t="s">
        <v>114</v>
      </c>
      <c r="AB11" s="190" t="s">
        <v>126</v>
      </c>
      <c r="AC11" s="190" t="s">
        <v>127</v>
      </c>
      <c r="AD11" s="190" t="s">
        <v>134</v>
      </c>
    </row>
    <row r="12" spans="1:30" ht="14.4" x14ac:dyDescent="0.3">
      <c r="A12" s="100">
        <v>409.25799999999998</v>
      </c>
      <c r="B12" s="102">
        <v>460</v>
      </c>
      <c r="C12" s="100">
        <v>11.082000000000001</v>
      </c>
      <c r="D12" s="105">
        <v>7.63</v>
      </c>
      <c r="E12" s="100">
        <v>-1.4E-2</v>
      </c>
      <c r="F12" s="100" t="s">
        <v>40</v>
      </c>
      <c r="G12" s="105" t="s">
        <v>44</v>
      </c>
      <c r="H12" s="100" t="s">
        <v>1</v>
      </c>
      <c r="I12" s="103" t="s">
        <v>42</v>
      </c>
      <c r="J12" s="19">
        <v>0.27916666666666667</v>
      </c>
      <c r="K12" s="104">
        <v>18</v>
      </c>
      <c r="L12" s="104">
        <v>29</v>
      </c>
      <c r="M12" s="104">
        <v>36</v>
      </c>
      <c r="N12" s="102">
        <v>12</v>
      </c>
      <c r="O12" s="105">
        <v>2.75</v>
      </c>
      <c r="P12" s="105">
        <v>4.88</v>
      </c>
      <c r="Q12" s="102" t="s">
        <v>1</v>
      </c>
      <c r="R12" s="186" t="s">
        <v>1</v>
      </c>
      <c r="S12" s="186" t="s">
        <v>1</v>
      </c>
      <c r="T12" s="105">
        <v>0.48</v>
      </c>
      <c r="U12" s="105">
        <v>0.45</v>
      </c>
      <c r="V12" s="105">
        <v>0.45</v>
      </c>
      <c r="W12" s="105">
        <v>0.4</v>
      </c>
      <c r="X12" s="130" t="s">
        <v>43</v>
      </c>
      <c r="Y12" s="135" t="s">
        <v>100</v>
      </c>
      <c r="Z12" s="145" t="s">
        <v>50</v>
      </c>
      <c r="AA12" s="145" t="s">
        <v>114</v>
      </c>
      <c r="AB12" s="190" t="s">
        <v>128</v>
      </c>
      <c r="AC12" s="190" t="s">
        <v>129</v>
      </c>
      <c r="AD12" s="190" t="s">
        <v>135</v>
      </c>
    </row>
    <row r="13" spans="1:30" ht="14.4" x14ac:dyDescent="0.3">
      <c r="A13" s="100">
        <v>464.74099999999999</v>
      </c>
      <c r="B13" s="102">
        <v>500</v>
      </c>
      <c r="C13" s="100">
        <v>11.099</v>
      </c>
      <c r="D13" s="105">
        <v>7.63</v>
      </c>
      <c r="E13" s="100">
        <v>-10.936999999999999</v>
      </c>
      <c r="F13" s="100" t="s">
        <v>40</v>
      </c>
      <c r="G13" s="105" t="s">
        <v>44</v>
      </c>
      <c r="H13" s="100" t="s">
        <v>1</v>
      </c>
      <c r="I13" s="103" t="s">
        <v>45</v>
      </c>
      <c r="J13" s="19">
        <v>0.50972222222222219</v>
      </c>
      <c r="K13" s="104">
        <v>74</v>
      </c>
      <c r="L13" s="104">
        <v>362</v>
      </c>
      <c r="M13" s="104">
        <v>26</v>
      </c>
      <c r="N13" s="102">
        <v>6</v>
      </c>
      <c r="O13" s="105">
        <v>1.98</v>
      </c>
      <c r="P13" s="105">
        <v>5.65</v>
      </c>
      <c r="Q13" s="102" t="s">
        <v>1</v>
      </c>
      <c r="R13" s="186" t="s">
        <v>1</v>
      </c>
      <c r="S13" s="186" t="s">
        <v>1</v>
      </c>
      <c r="T13" s="105">
        <v>0.51</v>
      </c>
      <c r="U13" s="105">
        <v>0.47</v>
      </c>
      <c r="V13" s="105">
        <v>0.48</v>
      </c>
      <c r="W13" s="105">
        <v>0.42</v>
      </c>
      <c r="X13" s="130" t="s">
        <v>43</v>
      </c>
      <c r="Y13" s="135" t="s">
        <v>101</v>
      </c>
      <c r="Z13" s="145" t="s">
        <v>50</v>
      </c>
      <c r="AA13" s="145" t="s">
        <v>114</v>
      </c>
      <c r="AB13" s="190" t="s">
        <v>130</v>
      </c>
      <c r="AC13" s="190" t="s">
        <v>131</v>
      </c>
      <c r="AD13" s="190" t="s">
        <v>136</v>
      </c>
    </row>
  </sheetData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3"/>
  <sheetViews>
    <sheetView topLeftCell="A3" zoomScaleNormal="100" workbookViewId="0">
      <selection activeCell="T8" sqref="T8:V13"/>
    </sheetView>
  </sheetViews>
  <sheetFormatPr defaultRowHeight="14.4" x14ac:dyDescent="0.3"/>
  <cols>
    <col min="1" max="1" width="12.5546875" customWidth="1"/>
    <col min="2" max="2" width="6" style="40" bestFit="1" customWidth="1"/>
    <col min="3" max="3" width="9.6640625" style="17" customWidth="1"/>
    <col min="4" max="4" width="4.5546875" style="174" bestFit="1" customWidth="1"/>
    <col min="5" max="5" width="7.33203125" style="8" bestFit="1" customWidth="1"/>
    <col min="6" max="6" width="16.6640625" customWidth="1"/>
    <col min="7" max="7" width="5.5546875" bestFit="1" customWidth="1"/>
    <col min="8" max="8" width="15" customWidth="1"/>
    <col min="9" max="9" width="14.6640625" customWidth="1"/>
    <col min="10" max="10" width="32.44140625" customWidth="1"/>
    <col min="11" max="12" width="5" bestFit="1" customWidth="1"/>
    <col min="13" max="13" width="5.5546875" bestFit="1" customWidth="1"/>
    <col min="14" max="14" width="4" bestFit="1" customWidth="1"/>
    <col min="15" max="15" width="3.6640625" customWidth="1"/>
    <col min="16" max="17" width="4.5546875" style="15" bestFit="1" customWidth="1"/>
    <col min="18" max="18" width="4.5546875" bestFit="1" customWidth="1"/>
    <col min="19" max="19" width="5.6640625" bestFit="1" customWidth="1"/>
    <col min="20" max="21" width="11.5546875" style="131" bestFit="1" customWidth="1"/>
    <col min="22" max="22" width="8.5546875" bestFit="1" customWidth="1"/>
  </cols>
  <sheetData>
    <row r="1" spans="1:22" ht="15.6" x14ac:dyDescent="0.3">
      <c r="A1" s="9" t="s">
        <v>84</v>
      </c>
      <c r="B1" s="34"/>
      <c r="C1" s="5"/>
      <c r="D1" s="4"/>
      <c r="E1" s="13"/>
      <c r="F1" s="1"/>
      <c r="G1" s="1"/>
      <c r="J1" s="17"/>
      <c r="T1" s="138"/>
      <c r="V1" s="17"/>
    </row>
    <row r="2" spans="1:22" ht="15.6" x14ac:dyDescent="0.3">
      <c r="A2" s="9"/>
      <c r="B2" s="34"/>
      <c r="C2" s="5"/>
      <c r="D2" s="4"/>
      <c r="E2" s="13"/>
      <c r="F2" s="1"/>
      <c r="G2" s="1"/>
      <c r="J2" s="17"/>
      <c r="T2" s="138"/>
      <c r="V2" s="17"/>
    </row>
    <row r="3" spans="1:22" x14ac:dyDescent="0.3">
      <c r="A3" s="36" t="str">
        <f>'Журнал раскладки труб'!A3</f>
        <v>Участок</v>
      </c>
      <c r="B3" s="34"/>
      <c r="C3" s="5"/>
      <c r="D3" s="4"/>
      <c r="E3" s="12"/>
      <c r="F3" s="1"/>
      <c r="G3" s="1"/>
      <c r="J3" s="17"/>
      <c r="T3" s="138"/>
      <c r="V3" s="17"/>
    </row>
    <row r="4" spans="1:22" x14ac:dyDescent="0.3">
      <c r="A4" s="10"/>
      <c r="B4" s="34"/>
      <c r="C4" s="5"/>
      <c r="D4" s="114"/>
      <c r="E4" s="10"/>
      <c r="F4" s="7"/>
      <c r="G4" s="1"/>
      <c r="J4" s="17"/>
      <c r="T4" s="138"/>
      <c r="V4" s="17"/>
    </row>
    <row r="5" spans="1:22" x14ac:dyDescent="0.3">
      <c r="A5" s="11" t="s">
        <v>116</v>
      </c>
      <c r="B5" s="34"/>
      <c r="C5" s="49"/>
      <c r="E5" s="12"/>
      <c r="F5" s="3"/>
      <c r="G5" s="1"/>
      <c r="J5" s="17"/>
      <c r="T5" s="138"/>
      <c r="V5" s="17"/>
    </row>
    <row r="6" spans="1:22" x14ac:dyDescent="0.3">
      <c r="A6" s="11" t="s">
        <v>70</v>
      </c>
      <c r="B6" s="37"/>
      <c r="C6" s="38"/>
      <c r="E6" s="165"/>
      <c r="F6" s="38"/>
      <c r="G6" s="39"/>
      <c r="J6" s="17"/>
      <c r="T6" s="138"/>
      <c r="V6" s="17"/>
    </row>
    <row r="7" spans="1:22" ht="123.75" customHeight="1" x14ac:dyDescent="0.3">
      <c r="A7" s="111" t="s">
        <v>93</v>
      </c>
      <c r="B7" s="171" t="s">
        <v>5</v>
      </c>
      <c r="C7" s="122" t="s">
        <v>6</v>
      </c>
      <c r="D7" s="126" t="s">
        <v>7</v>
      </c>
      <c r="E7" s="111" t="s">
        <v>103</v>
      </c>
      <c r="F7" s="111" t="s">
        <v>4</v>
      </c>
      <c r="G7" s="111" t="s">
        <v>13</v>
      </c>
      <c r="H7" s="111" t="s">
        <v>94</v>
      </c>
      <c r="I7" s="111" t="s">
        <v>115</v>
      </c>
      <c r="J7" s="111" t="s">
        <v>11</v>
      </c>
      <c r="K7" s="111" t="s">
        <v>14</v>
      </c>
      <c r="L7" s="111" t="s">
        <v>15</v>
      </c>
      <c r="M7" s="111" t="s">
        <v>106</v>
      </c>
      <c r="N7" s="111" t="s">
        <v>107</v>
      </c>
      <c r="O7" s="111" t="s">
        <v>20</v>
      </c>
      <c r="P7" s="126" t="s">
        <v>108</v>
      </c>
      <c r="Q7" s="126" t="s">
        <v>109</v>
      </c>
      <c r="R7" s="111" t="s">
        <v>26</v>
      </c>
      <c r="S7" s="111" t="s">
        <v>96</v>
      </c>
      <c r="T7" s="132" t="s">
        <v>28</v>
      </c>
      <c r="U7" s="132" t="s">
        <v>29</v>
      </c>
      <c r="V7" s="73" t="s">
        <v>30</v>
      </c>
    </row>
    <row r="8" spans="1:22" x14ac:dyDescent="0.3">
      <c r="A8" s="21">
        <v>120.39</v>
      </c>
      <c r="B8" s="31">
        <v>200</v>
      </c>
      <c r="C8" s="22">
        <v>11.282999999999999</v>
      </c>
      <c r="D8" s="18">
        <v>7.75</v>
      </c>
      <c r="E8" s="22">
        <v>-10.27</v>
      </c>
      <c r="F8" s="22">
        <v>130.66</v>
      </c>
      <c r="G8" s="19">
        <v>0.46250000000000002</v>
      </c>
      <c r="H8" s="16" t="s">
        <v>58</v>
      </c>
      <c r="I8" s="23" t="s">
        <v>59</v>
      </c>
      <c r="J8" s="19" t="s">
        <v>60</v>
      </c>
      <c r="K8" s="16">
        <v>116</v>
      </c>
      <c r="L8" s="16">
        <v>15</v>
      </c>
      <c r="M8" s="18">
        <v>7.75</v>
      </c>
      <c r="N8" s="31">
        <v>100</v>
      </c>
      <c r="O8" s="31" t="s">
        <v>1</v>
      </c>
      <c r="P8" s="18">
        <v>4.62</v>
      </c>
      <c r="Q8" s="18">
        <v>4.62</v>
      </c>
      <c r="R8" s="31" t="s">
        <v>61</v>
      </c>
      <c r="S8" s="18" t="s">
        <v>99</v>
      </c>
      <c r="T8" s="190" t="s">
        <v>119</v>
      </c>
      <c r="U8" s="190" t="s">
        <v>120</v>
      </c>
      <c r="V8" s="190" t="s">
        <v>121</v>
      </c>
    </row>
    <row r="9" spans="1:22" x14ac:dyDescent="0.3">
      <c r="A9" s="21">
        <v>242.86</v>
      </c>
      <c r="B9" s="31">
        <v>310</v>
      </c>
      <c r="C9" s="22">
        <v>11.134</v>
      </c>
      <c r="D9" s="18">
        <v>7.63</v>
      </c>
      <c r="E9" s="22">
        <v>-0.14899999999999999</v>
      </c>
      <c r="F9" s="22">
        <v>243.00899999999999</v>
      </c>
      <c r="G9" s="19">
        <v>0.24374999999999999</v>
      </c>
      <c r="H9" s="16" t="s">
        <v>58</v>
      </c>
      <c r="I9" s="23" t="s">
        <v>59</v>
      </c>
      <c r="J9" s="19" t="s">
        <v>60</v>
      </c>
      <c r="K9" s="16">
        <v>48</v>
      </c>
      <c r="L9" s="16">
        <v>13</v>
      </c>
      <c r="M9" s="18">
        <v>7.63</v>
      </c>
      <c r="N9" s="31">
        <v>100</v>
      </c>
      <c r="O9" s="31" t="s">
        <v>1</v>
      </c>
      <c r="P9" s="18">
        <v>6.78</v>
      </c>
      <c r="Q9" s="18">
        <v>6.78</v>
      </c>
      <c r="R9" s="31" t="s">
        <v>61</v>
      </c>
      <c r="S9" s="18" t="s">
        <v>101</v>
      </c>
      <c r="T9" s="190" t="s">
        <v>122</v>
      </c>
      <c r="U9" s="190" t="s">
        <v>123</v>
      </c>
      <c r="V9" s="190" t="s">
        <v>132</v>
      </c>
    </row>
    <row r="10" spans="1:22" x14ac:dyDescent="0.3">
      <c r="A10" s="21">
        <v>1293.029</v>
      </c>
      <c r="B10" s="31">
        <v>1250</v>
      </c>
      <c r="C10" s="22">
        <v>11.294</v>
      </c>
      <c r="D10" s="18">
        <v>7.93</v>
      </c>
      <c r="E10" s="22">
        <v>-4.9119999999999999</v>
      </c>
      <c r="F10" s="22">
        <v>1297.941</v>
      </c>
      <c r="G10" s="19">
        <v>0.34097222222222223</v>
      </c>
      <c r="H10" s="16" t="s">
        <v>58</v>
      </c>
      <c r="I10" s="23" t="s">
        <v>59</v>
      </c>
      <c r="J10" s="19" t="s">
        <v>60</v>
      </c>
      <c r="K10" s="16">
        <v>77</v>
      </c>
      <c r="L10" s="16">
        <v>29</v>
      </c>
      <c r="M10" s="18">
        <v>7.93</v>
      </c>
      <c r="N10" s="31">
        <v>100</v>
      </c>
      <c r="O10" s="31" t="s">
        <v>1</v>
      </c>
      <c r="P10" s="18">
        <v>4.32</v>
      </c>
      <c r="Q10" s="18">
        <v>4.32</v>
      </c>
      <c r="R10" s="31" t="s">
        <v>61</v>
      </c>
      <c r="S10" s="18" t="s">
        <v>99</v>
      </c>
      <c r="T10" s="190" t="s">
        <v>124</v>
      </c>
      <c r="U10" s="190" t="s">
        <v>125</v>
      </c>
      <c r="V10" s="190" t="s">
        <v>133</v>
      </c>
    </row>
    <row r="11" spans="1:22" x14ac:dyDescent="0.3">
      <c r="A11" s="21">
        <v>1293.029</v>
      </c>
      <c r="B11" s="31">
        <v>1250</v>
      </c>
      <c r="C11" s="22">
        <v>11.294</v>
      </c>
      <c r="D11" s="18">
        <v>7.93</v>
      </c>
      <c r="E11" s="22">
        <v>-6.92</v>
      </c>
      <c r="F11" s="22">
        <v>1299.9490000000001</v>
      </c>
      <c r="G11" s="19">
        <v>6.1111111111111109E-2</v>
      </c>
      <c r="H11" s="16" t="s">
        <v>58</v>
      </c>
      <c r="I11" s="23" t="s">
        <v>59</v>
      </c>
      <c r="J11" s="19" t="s">
        <v>60</v>
      </c>
      <c r="K11" s="16">
        <v>66</v>
      </c>
      <c r="L11" s="16">
        <v>45</v>
      </c>
      <c r="M11" s="18">
        <v>7.93</v>
      </c>
      <c r="N11" s="31">
        <v>100</v>
      </c>
      <c r="O11" s="31" t="s">
        <v>1</v>
      </c>
      <c r="P11" s="18">
        <v>3.73</v>
      </c>
      <c r="Q11" s="18">
        <v>3.73</v>
      </c>
      <c r="R11" s="31" t="s">
        <v>61</v>
      </c>
      <c r="S11" s="18" t="s">
        <v>99</v>
      </c>
      <c r="T11" s="190" t="s">
        <v>126</v>
      </c>
      <c r="U11" s="190" t="s">
        <v>127</v>
      </c>
      <c r="V11" s="190" t="s">
        <v>134</v>
      </c>
    </row>
    <row r="12" spans="1:22" x14ac:dyDescent="0.3">
      <c r="A12" s="21">
        <v>1293.029</v>
      </c>
      <c r="B12" s="31">
        <v>1250</v>
      </c>
      <c r="C12" s="22">
        <v>11.294</v>
      </c>
      <c r="D12" s="18">
        <v>7.93</v>
      </c>
      <c r="E12" s="22">
        <v>-9.2539999999999996</v>
      </c>
      <c r="F12" s="22">
        <v>1302.2829999999999</v>
      </c>
      <c r="G12" s="19">
        <v>0.41597222222222224</v>
      </c>
      <c r="H12" s="16" t="s">
        <v>58</v>
      </c>
      <c r="I12" s="23" t="s">
        <v>59</v>
      </c>
      <c r="J12" s="19" t="s">
        <v>60</v>
      </c>
      <c r="K12" s="16">
        <v>47</v>
      </c>
      <c r="L12" s="16">
        <v>21</v>
      </c>
      <c r="M12" s="18">
        <v>7.93</v>
      </c>
      <c r="N12" s="31">
        <v>100</v>
      </c>
      <c r="O12" s="31" t="s">
        <v>1</v>
      </c>
      <c r="P12" s="18">
        <v>3.49</v>
      </c>
      <c r="Q12" s="18">
        <v>3.49</v>
      </c>
      <c r="R12" s="31" t="s">
        <v>61</v>
      </c>
      <c r="S12" s="18" t="s">
        <v>99</v>
      </c>
      <c r="T12" s="190" t="s">
        <v>128</v>
      </c>
      <c r="U12" s="190" t="s">
        <v>129</v>
      </c>
      <c r="V12" s="190" t="s">
        <v>135</v>
      </c>
    </row>
    <row r="13" spans="1:22" x14ac:dyDescent="0.3">
      <c r="A13" s="21">
        <v>1885.127</v>
      </c>
      <c r="B13" s="31">
        <v>1770</v>
      </c>
      <c r="C13" s="22">
        <v>11.125999999999999</v>
      </c>
      <c r="D13" s="18">
        <v>7.63</v>
      </c>
      <c r="E13" s="22">
        <v>-9.7850000000000001</v>
      </c>
      <c r="F13" s="22">
        <v>1894.912</v>
      </c>
      <c r="G13" s="19">
        <v>0.52638888888888891</v>
      </c>
      <c r="H13" s="16" t="s">
        <v>58</v>
      </c>
      <c r="I13" s="23" t="s">
        <v>59</v>
      </c>
      <c r="J13" s="19" t="s">
        <v>65</v>
      </c>
      <c r="K13" s="16">
        <v>279</v>
      </c>
      <c r="L13" s="16">
        <v>15</v>
      </c>
      <c r="M13" s="18">
        <v>7.63</v>
      </c>
      <c r="N13" s="31">
        <v>100</v>
      </c>
      <c r="O13" s="31" t="s">
        <v>1</v>
      </c>
      <c r="P13" s="18">
        <v>3.73</v>
      </c>
      <c r="Q13" s="18">
        <v>3.73</v>
      </c>
      <c r="R13" s="31" t="s">
        <v>61</v>
      </c>
      <c r="S13" s="18" t="s">
        <v>99</v>
      </c>
      <c r="T13" s="190" t="s">
        <v>130</v>
      </c>
      <c r="U13" s="190" t="s">
        <v>131</v>
      </c>
      <c r="V13" s="190" t="s">
        <v>136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3"/>
  <sheetViews>
    <sheetView zoomScaleNormal="100" workbookViewId="0">
      <selection activeCell="Q8" sqref="Q8:S13"/>
    </sheetView>
  </sheetViews>
  <sheetFormatPr defaultRowHeight="14.4" x14ac:dyDescent="0.3"/>
  <cols>
    <col min="1" max="1" width="13" style="8" customWidth="1"/>
    <col min="2" max="2" width="7" style="40" bestFit="1" customWidth="1"/>
    <col min="3" max="3" width="6.5546875" style="8" bestFit="1" customWidth="1"/>
    <col min="4" max="4" width="6.88671875" style="8" customWidth="1"/>
    <col min="5" max="5" width="6.33203125" style="17" bestFit="1" customWidth="1"/>
    <col min="6" max="6" width="10.5546875" bestFit="1" customWidth="1"/>
    <col min="7" max="7" width="5.5546875" bestFit="1" customWidth="1"/>
    <col min="8" max="8" width="14" customWidth="1"/>
    <col min="9" max="9" width="29" customWidth="1"/>
    <col min="10" max="10" width="40" customWidth="1"/>
    <col min="11" max="11" width="5" bestFit="1" customWidth="1"/>
    <col min="12" max="12" width="4" bestFit="1" customWidth="1"/>
    <col min="13" max="14" width="3.5546875" style="43" bestFit="1" customWidth="1"/>
    <col min="15" max="15" width="4.109375" style="17" bestFit="1" customWidth="1"/>
    <col min="16" max="16" width="4.5546875" style="17" bestFit="1" customWidth="1"/>
    <col min="17" max="17" width="15.44140625" style="131" bestFit="1" customWidth="1"/>
    <col min="18" max="18" width="15" style="131" bestFit="1" customWidth="1"/>
    <col min="19" max="19" width="8.5546875" bestFit="1" customWidth="1"/>
  </cols>
  <sheetData>
    <row r="1" spans="1:19" ht="15.6" x14ac:dyDescent="0.3">
      <c r="A1" s="9" t="s">
        <v>85</v>
      </c>
      <c r="B1" s="172"/>
      <c r="C1" s="12"/>
      <c r="D1" s="13"/>
      <c r="E1" s="4"/>
      <c r="F1" s="1"/>
      <c r="G1" s="1"/>
    </row>
    <row r="2" spans="1:19" ht="15.6" x14ac:dyDescent="0.3">
      <c r="A2" s="9"/>
      <c r="B2" s="172"/>
      <c r="C2" s="12"/>
      <c r="D2" s="13"/>
      <c r="E2" s="4"/>
      <c r="F2" s="1"/>
      <c r="G2" s="1"/>
    </row>
    <row r="3" spans="1:19" x14ac:dyDescent="0.3">
      <c r="A3" s="36" t="str">
        <f>'Журнал раскладки труб'!A3</f>
        <v>Участок</v>
      </c>
      <c r="B3" s="173"/>
      <c r="C3" s="1"/>
      <c r="D3" s="1"/>
      <c r="E3" s="5"/>
      <c r="F3" s="1"/>
      <c r="G3" s="1"/>
    </row>
    <row r="4" spans="1:19" x14ac:dyDescent="0.3">
      <c r="A4" s="10"/>
      <c r="B4" s="173"/>
      <c r="C4" s="13"/>
      <c r="D4" s="10"/>
      <c r="E4" s="114"/>
      <c r="F4" s="7"/>
      <c r="G4" s="1"/>
    </row>
    <row r="5" spans="1:19" x14ac:dyDescent="0.3">
      <c r="A5" s="11" t="s">
        <v>116</v>
      </c>
      <c r="B5" s="37"/>
      <c r="C5" s="13"/>
      <c r="D5" s="20"/>
      <c r="E5" s="13"/>
      <c r="F5" s="12"/>
      <c r="G5" s="1"/>
    </row>
    <row r="6" spans="1:19" x14ac:dyDescent="0.3">
      <c r="A6" s="11" t="s">
        <v>70</v>
      </c>
      <c r="B6" s="37"/>
      <c r="C6" s="14"/>
      <c r="D6" s="38"/>
      <c r="E6" s="91"/>
      <c r="F6" s="38"/>
      <c r="G6" s="39"/>
    </row>
    <row r="7" spans="1:19" ht="123.75" customHeight="1" x14ac:dyDescent="0.3">
      <c r="A7" s="111" t="s">
        <v>93</v>
      </c>
      <c r="B7" s="171" t="s">
        <v>5</v>
      </c>
      <c r="C7" s="111" t="s">
        <v>6</v>
      </c>
      <c r="D7" s="111" t="s">
        <v>7</v>
      </c>
      <c r="E7" s="111" t="s">
        <v>8</v>
      </c>
      <c r="F7" s="111" t="s">
        <v>4</v>
      </c>
      <c r="G7" s="111" t="s">
        <v>13</v>
      </c>
      <c r="H7" s="111" t="s">
        <v>94</v>
      </c>
      <c r="I7" s="111" t="s">
        <v>71</v>
      </c>
      <c r="J7" s="111" t="s">
        <v>11</v>
      </c>
      <c r="K7" s="111" t="s">
        <v>14</v>
      </c>
      <c r="L7" s="111" t="s">
        <v>15</v>
      </c>
      <c r="M7" s="111" t="s">
        <v>21</v>
      </c>
      <c r="N7" s="111" t="s">
        <v>22</v>
      </c>
      <c r="O7" s="111" t="s">
        <v>26</v>
      </c>
      <c r="P7" s="111" t="s">
        <v>96</v>
      </c>
      <c r="Q7" s="132" t="s">
        <v>28</v>
      </c>
      <c r="R7" s="132" t="s">
        <v>29</v>
      </c>
      <c r="S7" s="111" t="s">
        <v>30</v>
      </c>
    </row>
    <row r="8" spans="1:19" x14ac:dyDescent="0.3">
      <c r="A8" s="21">
        <v>53.122</v>
      </c>
      <c r="B8" s="31">
        <v>140</v>
      </c>
      <c r="C8" s="22">
        <v>11.17</v>
      </c>
      <c r="D8" s="18">
        <v>7.69</v>
      </c>
      <c r="E8" s="18">
        <v>-1.0860000000000001</v>
      </c>
      <c r="F8" s="22">
        <v>54.207999999999998</v>
      </c>
      <c r="G8" s="19">
        <v>0.125</v>
      </c>
      <c r="H8" s="16" t="s">
        <v>52</v>
      </c>
      <c r="I8" s="23" t="s">
        <v>53</v>
      </c>
      <c r="J8" s="23" t="s">
        <v>54</v>
      </c>
      <c r="K8" s="31">
        <v>101</v>
      </c>
      <c r="L8" s="16" t="s">
        <v>1</v>
      </c>
      <c r="M8" s="42" t="s">
        <v>1</v>
      </c>
      <c r="N8" s="42" t="s">
        <v>1</v>
      </c>
      <c r="O8" s="31" t="s">
        <v>55</v>
      </c>
      <c r="P8" s="18" t="s">
        <v>99</v>
      </c>
      <c r="Q8" s="190" t="s">
        <v>119</v>
      </c>
      <c r="R8" s="190" t="s">
        <v>120</v>
      </c>
      <c r="S8" s="190" t="s">
        <v>121</v>
      </c>
    </row>
    <row r="9" spans="1:19" x14ac:dyDescent="0.3">
      <c r="A9" s="21">
        <v>86.692999999999998</v>
      </c>
      <c r="B9" s="31">
        <v>170</v>
      </c>
      <c r="C9" s="22">
        <v>11.247</v>
      </c>
      <c r="D9" s="18">
        <v>7.63</v>
      </c>
      <c r="E9" s="18">
        <v>-2.996</v>
      </c>
      <c r="F9" s="22">
        <v>89.688999999999993</v>
      </c>
      <c r="G9" s="19">
        <v>7.2222222222222215E-2</v>
      </c>
      <c r="H9" s="16" t="s">
        <v>52</v>
      </c>
      <c r="I9" s="23" t="s">
        <v>53</v>
      </c>
      <c r="J9" s="23" t="s">
        <v>54</v>
      </c>
      <c r="K9" s="31">
        <v>123</v>
      </c>
      <c r="L9" s="16" t="s">
        <v>1</v>
      </c>
      <c r="M9" s="42" t="s">
        <v>1</v>
      </c>
      <c r="N9" s="42" t="s">
        <v>1</v>
      </c>
      <c r="O9" s="31" t="s">
        <v>55</v>
      </c>
      <c r="P9" s="18" t="s">
        <v>99</v>
      </c>
      <c r="Q9" s="190" t="s">
        <v>122</v>
      </c>
      <c r="R9" s="190" t="s">
        <v>123</v>
      </c>
      <c r="S9" s="190" t="s">
        <v>132</v>
      </c>
    </row>
    <row r="10" spans="1:19" x14ac:dyDescent="0.3">
      <c r="A10" s="21">
        <v>109.137</v>
      </c>
      <c r="B10" s="31">
        <v>190</v>
      </c>
      <c r="C10" s="22">
        <v>11.253</v>
      </c>
      <c r="D10" s="18">
        <v>7.69</v>
      </c>
      <c r="E10" s="18">
        <v>-4.9950000000000001</v>
      </c>
      <c r="F10" s="22">
        <v>114.13200000000001</v>
      </c>
      <c r="G10" s="19">
        <v>0.35555555555555557</v>
      </c>
      <c r="H10" s="16" t="s">
        <v>52</v>
      </c>
      <c r="I10" s="23" t="s">
        <v>53</v>
      </c>
      <c r="J10" s="23" t="s">
        <v>54</v>
      </c>
      <c r="K10" s="31">
        <v>300</v>
      </c>
      <c r="L10" s="16" t="s">
        <v>1</v>
      </c>
      <c r="M10" s="42" t="s">
        <v>1</v>
      </c>
      <c r="N10" s="42" t="s">
        <v>1</v>
      </c>
      <c r="O10" s="31" t="s">
        <v>55</v>
      </c>
      <c r="P10" s="18" t="s">
        <v>99</v>
      </c>
      <c r="Q10" s="190" t="s">
        <v>124</v>
      </c>
      <c r="R10" s="190" t="s">
        <v>125</v>
      </c>
      <c r="S10" s="190" t="s">
        <v>133</v>
      </c>
    </row>
    <row r="11" spans="1:19" x14ac:dyDescent="0.3">
      <c r="A11" s="21">
        <v>376.08800000000002</v>
      </c>
      <c r="B11" s="31">
        <v>430</v>
      </c>
      <c r="C11" s="22">
        <v>10.782</v>
      </c>
      <c r="D11" s="18">
        <v>7.51</v>
      </c>
      <c r="E11" s="18">
        <v>-9.5519999999999996</v>
      </c>
      <c r="F11" s="22">
        <v>385.64</v>
      </c>
      <c r="G11" s="19">
        <v>0.21458333333333332</v>
      </c>
      <c r="H11" s="16" t="s">
        <v>52</v>
      </c>
      <c r="I11" s="23" t="s">
        <v>63</v>
      </c>
      <c r="J11" s="23" t="s">
        <v>64</v>
      </c>
      <c r="K11" s="31">
        <v>2071</v>
      </c>
      <c r="L11" s="16" t="s">
        <v>1</v>
      </c>
      <c r="M11" s="42">
        <v>2.2999999999999998</v>
      </c>
      <c r="N11" s="42" t="s">
        <v>1</v>
      </c>
      <c r="O11" s="31" t="s">
        <v>43</v>
      </c>
      <c r="P11" s="18" t="s">
        <v>99</v>
      </c>
      <c r="Q11" s="190" t="s">
        <v>126</v>
      </c>
      <c r="R11" s="190" t="s">
        <v>127</v>
      </c>
      <c r="S11" s="190" t="s">
        <v>134</v>
      </c>
    </row>
    <row r="12" spans="1:19" x14ac:dyDescent="0.3">
      <c r="A12" s="21">
        <v>2179.7730000000001</v>
      </c>
      <c r="B12" s="31">
        <v>2060</v>
      </c>
      <c r="C12" s="22">
        <v>5.7480000000000002</v>
      </c>
      <c r="D12" s="18">
        <v>7.45</v>
      </c>
      <c r="E12" s="18">
        <v>-3.2090000000000001</v>
      </c>
      <c r="F12" s="22">
        <v>2182.982</v>
      </c>
      <c r="G12" s="19">
        <v>0.12777777777777777</v>
      </c>
      <c r="H12" s="16" t="s">
        <v>52</v>
      </c>
      <c r="I12" s="23" t="s">
        <v>53</v>
      </c>
      <c r="J12" s="23" t="s">
        <v>54</v>
      </c>
      <c r="K12" s="31">
        <v>65</v>
      </c>
      <c r="L12" s="16" t="s">
        <v>1</v>
      </c>
      <c r="M12" s="42" t="s">
        <v>1</v>
      </c>
      <c r="N12" s="42" t="s">
        <v>1</v>
      </c>
      <c r="O12" s="31" t="s">
        <v>55</v>
      </c>
      <c r="P12" s="18" t="s">
        <v>99</v>
      </c>
      <c r="Q12" s="190" t="s">
        <v>128</v>
      </c>
      <c r="R12" s="190" t="s">
        <v>129</v>
      </c>
      <c r="S12" s="190" t="s">
        <v>135</v>
      </c>
    </row>
    <row r="13" spans="1:19" x14ac:dyDescent="0.3">
      <c r="A13" s="21">
        <v>2676.7460000000001</v>
      </c>
      <c r="B13" s="31">
        <v>2570</v>
      </c>
      <c r="C13" s="22">
        <v>11.378</v>
      </c>
      <c r="D13" s="18">
        <v>7.81</v>
      </c>
      <c r="E13" s="18">
        <v>-6.72</v>
      </c>
      <c r="F13" s="22">
        <v>2683.4659999999999</v>
      </c>
      <c r="G13" s="19">
        <v>0.2013888888888889</v>
      </c>
      <c r="H13" s="16" t="s">
        <v>52</v>
      </c>
      <c r="I13" s="23" t="s">
        <v>63</v>
      </c>
      <c r="J13" s="23" t="s">
        <v>68</v>
      </c>
      <c r="K13" s="31">
        <v>1512</v>
      </c>
      <c r="L13" s="16" t="s">
        <v>1</v>
      </c>
      <c r="M13" s="42">
        <v>2.2000000000000002</v>
      </c>
      <c r="N13" s="42" t="s">
        <v>1</v>
      </c>
      <c r="O13" s="31" t="s">
        <v>43</v>
      </c>
      <c r="P13" s="18" t="s">
        <v>99</v>
      </c>
      <c r="Q13" s="190" t="s">
        <v>130</v>
      </c>
      <c r="R13" s="190" t="s">
        <v>131</v>
      </c>
      <c r="S13" s="190" t="s">
        <v>136</v>
      </c>
    </row>
  </sheetData>
  <pageMargins left="0.7" right="0.7" top="0.75" bottom="0.75" header="0.3" footer="0.3"/>
  <pageSetup paperSize="9" orientation="portrait" horizontalDpi="144" verticalDpi="14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3"/>
  <sheetViews>
    <sheetView topLeftCell="A3" zoomScaleNormal="100" workbookViewId="0">
      <selection activeCell="T8" sqref="T8:V13"/>
    </sheetView>
  </sheetViews>
  <sheetFormatPr defaultColWidth="9.109375" defaultRowHeight="13.2" x14ac:dyDescent="0.25"/>
  <cols>
    <col min="1" max="1" width="9.5546875" style="77" bestFit="1" customWidth="1"/>
    <col min="2" max="2" width="6" style="56" bestFit="1" customWidth="1"/>
    <col min="3" max="3" width="7" style="56" bestFit="1" customWidth="1"/>
    <col min="4" max="4" width="6" style="56" bestFit="1" customWidth="1"/>
    <col min="5" max="5" width="7.44140625" style="77" customWidth="1"/>
    <col min="6" max="6" width="12.44140625" style="56" customWidth="1"/>
    <col min="7" max="7" width="5.5546875" style="56" bestFit="1" customWidth="1"/>
    <col min="8" max="8" width="16.88671875" style="56" customWidth="1"/>
    <col min="9" max="9" width="22.109375" style="56" customWidth="1"/>
    <col min="10" max="10" width="21.88671875" style="56" customWidth="1"/>
    <col min="11" max="11" width="5.5546875" style="56" bestFit="1" customWidth="1"/>
    <col min="12" max="13" width="5" style="56" bestFit="1" customWidth="1"/>
    <col min="14" max="15" width="3" style="56" bestFit="1" customWidth="1"/>
    <col min="16" max="16" width="4" style="56" bestFit="1" customWidth="1"/>
    <col min="17" max="17" width="5.44140625" style="56" bestFit="1" customWidth="1"/>
    <col min="18" max="18" width="2.88671875" style="56" bestFit="1" customWidth="1"/>
    <col min="19" max="19" width="5" style="56" bestFit="1" customWidth="1"/>
    <col min="20" max="21" width="11.5546875" style="137" bestFit="1" customWidth="1"/>
    <col min="22" max="22" width="8.5546875" style="56" bestFit="1" customWidth="1"/>
    <col min="23" max="16384" width="9.109375" style="56"/>
  </cols>
  <sheetData>
    <row r="1" spans="1:22" ht="15.6" x14ac:dyDescent="0.3">
      <c r="A1" s="50" t="s">
        <v>86</v>
      </c>
      <c r="B1" s="50"/>
      <c r="C1" s="119"/>
      <c r="D1" s="50"/>
      <c r="E1" s="50"/>
      <c r="F1" s="83"/>
      <c r="G1" s="115"/>
    </row>
    <row r="2" spans="1:22" ht="15.6" x14ac:dyDescent="0.3">
      <c r="A2" s="50"/>
      <c r="B2" s="50"/>
      <c r="C2" s="119"/>
      <c r="D2" s="99"/>
      <c r="E2" s="99"/>
      <c r="F2" s="83"/>
      <c r="G2" s="115"/>
    </row>
    <row r="3" spans="1:22" x14ac:dyDescent="0.25">
      <c r="A3" s="62" t="str">
        <f>'Журнал раскладки труб'!A3</f>
        <v>Участок</v>
      </c>
      <c r="B3" s="62"/>
      <c r="C3" s="62"/>
      <c r="D3" s="77"/>
      <c r="F3" s="85"/>
      <c r="G3" s="115"/>
    </row>
    <row r="4" spans="1:22" x14ac:dyDescent="0.25">
      <c r="A4" s="62"/>
      <c r="B4" s="62"/>
      <c r="C4" s="119"/>
      <c r="D4" s="62"/>
      <c r="E4" s="62"/>
      <c r="F4" s="83"/>
      <c r="G4" s="115"/>
    </row>
    <row r="5" spans="1:22" x14ac:dyDescent="0.25">
      <c r="A5" s="11" t="s">
        <v>116</v>
      </c>
      <c r="B5" s="116"/>
      <c r="C5" s="116"/>
      <c r="D5" s="117"/>
      <c r="F5" s="117"/>
      <c r="G5" s="115"/>
    </row>
    <row r="6" spans="1:22" x14ac:dyDescent="0.25">
      <c r="A6" s="11" t="s">
        <v>70</v>
      </c>
      <c r="B6" s="116"/>
      <c r="C6" s="116"/>
      <c r="D6" s="118"/>
      <c r="F6" s="117"/>
      <c r="G6" s="115"/>
    </row>
    <row r="7" spans="1:22" ht="136.5" customHeight="1" x14ac:dyDescent="0.25">
      <c r="A7" s="111" t="s">
        <v>93</v>
      </c>
      <c r="B7" s="111" t="s">
        <v>5</v>
      </c>
      <c r="C7" s="111" t="s">
        <v>6</v>
      </c>
      <c r="D7" s="111" t="s">
        <v>7</v>
      </c>
      <c r="E7" s="111" t="s">
        <v>8</v>
      </c>
      <c r="F7" s="111" t="s">
        <v>4</v>
      </c>
      <c r="G7" s="111" t="s">
        <v>13</v>
      </c>
      <c r="H7" s="111" t="s">
        <v>94</v>
      </c>
      <c r="I7" s="111" t="s">
        <v>10</v>
      </c>
      <c r="J7" s="111" t="s">
        <v>11</v>
      </c>
      <c r="K7" s="111" t="s">
        <v>12</v>
      </c>
      <c r="L7" s="111" t="s">
        <v>14</v>
      </c>
      <c r="M7" s="111" t="s">
        <v>15</v>
      </c>
      <c r="N7" s="111" t="s">
        <v>16</v>
      </c>
      <c r="O7" s="111" t="s">
        <v>17</v>
      </c>
      <c r="P7" s="111" t="s">
        <v>26</v>
      </c>
      <c r="Q7" s="111" t="s">
        <v>96</v>
      </c>
      <c r="R7" s="111" t="s">
        <v>97</v>
      </c>
      <c r="S7" s="111" t="s">
        <v>98</v>
      </c>
      <c r="T7" s="132" t="s">
        <v>28</v>
      </c>
      <c r="U7" s="132" t="s">
        <v>29</v>
      </c>
      <c r="V7" s="111" t="s">
        <v>30</v>
      </c>
    </row>
    <row r="8" spans="1:22" s="147" customFormat="1" ht="14.4" x14ac:dyDescent="0.3">
      <c r="A8" s="139">
        <v>13.657</v>
      </c>
      <c r="B8" s="143">
        <v>80</v>
      </c>
      <c r="C8" s="143">
        <v>6.1740000000000004</v>
      </c>
      <c r="D8" s="141">
        <v>7.4</v>
      </c>
      <c r="E8" s="139">
        <v>-1.0999999999999999E-2</v>
      </c>
      <c r="F8" s="143">
        <v>13.667999999999999</v>
      </c>
      <c r="G8" s="142">
        <v>0.18124999999999999</v>
      </c>
      <c r="H8" s="143" t="s">
        <v>40</v>
      </c>
      <c r="I8" s="143" t="s">
        <v>41</v>
      </c>
      <c r="J8" s="143" t="s">
        <v>1</v>
      </c>
      <c r="K8" s="143" t="s">
        <v>45</v>
      </c>
      <c r="L8" s="143">
        <v>976</v>
      </c>
      <c r="M8" s="143">
        <v>218</v>
      </c>
      <c r="N8" s="143">
        <v>20</v>
      </c>
      <c r="O8" s="143">
        <v>3</v>
      </c>
      <c r="P8" s="143" t="s">
        <v>43</v>
      </c>
      <c r="Q8" s="143" t="s">
        <v>100</v>
      </c>
      <c r="R8" s="143" t="s">
        <v>2</v>
      </c>
      <c r="S8" s="143">
        <v>1</v>
      </c>
      <c r="T8" s="190" t="s">
        <v>119</v>
      </c>
      <c r="U8" s="190" t="s">
        <v>120</v>
      </c>
      <c r="V8" s="190" t="s">
        <v>121</v>
      </c>
    </row>
    <row r="9" spans="1:22" s="147" customFormat="1" ht="14.4" x14ac:dyDescent="0.3">
      <c r="A9" s="139">
        <v>13.657</v>
      </c>
      <c r="B9" s="143">
        <v>80</v>
      </c>
      <c r="C9" s="143">
        <v>6.1740000000000004</v>
      </c>
      <c r="D9" s="141">
        <v>7.4</v>
      </c>
      <c r="E9" s="139">
        <v>-1.0999999999999999E-2</v>
      </c>
      <c r="F9" s="143">
        <v>13.667999999999999</v>
      </c>
      <c r="G9" s="142">
        <v>0.18124999999999999</v>
      </c>
      <c r="H9" s="143" t="s">
        <v>40</v>
      </c>
      <c r="I9" s="143" t="s">
        <v>44</v>
      </c>
      <c r="J9" s="143" t="s">
        <v>1</v>
      </c>
      <c r="K9" s="143" t="s">
        <v>45</v>
      </c>
      <c r="L9" s="143">
        <v>976</v>
      </c>
      <c r="M9" s="143">
        <v>218</v>
      </c>
      <c r="N9" s="143">
        <v>20</v>
      </c>
      <c r="O9" s="143">
        <v>3</v>
      </c>
      <c r="P9" s="143" t="s">
        <v>43</v>
      </c>
      <c r="Q9" s="143" t="s">
        <v>100</v>
      </c>
      <c r="R9" s="143" t="s">
        <v>3</v>
      </c>
      <c r="S9" s="143">
        <v>1</v>
      </c>
      <c r="T9" s="190" t="s">
        <v>122</v>
      </c>
      <c r="U9" s="190" t="s">
        <v>123</v>
      </c>
      <c r="V9" s="190" t="s">
        <v>132</v>
      </c>
    </row>
    <row r="10" spans="1:22" s="147" customFormat="1" ht="14.4" x14ac:dyDescent="0.3">
      <c r="A10" s="139">
        <v>13.657</v>
      </c>
      <c r="B10" s="143">
        <v>80</v>
      </c>
      <c r="C10" s="143">
        <v>6.1740000000000004</v>
      </c>
      <c r="D10" s="141">
        <v>7.4</v>
      </c>
      <c r="E10" s="139">
        <v>-4.2999999999999997E-2</v>
      </c>
      <c r="F10" s="143">
        <v>13.7</v>
      </c>
      <c r="G10" s="142">
        <v>0.20069444444444445</v>
      </c>
      <c r="H10" s="143" t="s">
        <v>40</v>
      </c>
      <c r="I10" s="143" t="s">
        <v>41</v>
      </c>
      <c r="J10" s="143" t="s">
        <v>1</v>
      </c>
      <c r="K10" s="143" t="s">
        <v>42</v>
      </c>
      <c r="L10" s="143">
        <v>20</v>
      </c>
      <c r="M10" s="143">
        <v>32</v>
      </c>
      <c r="N10" s="143">
        <v>8</v>
      </c>
      <c r="O10" s="143">
        <v>4</v>
      </c>
      <c r="P10" s="143" t="s">
        <v>43</v>
      </c>
      <c r="Q10" s="143" t="s">
        <v>101</v>
      </c>
      <c r="R10" s="143" t="s">
        <v>2</v>
      </c>
      <c r="S10" s="143">
        <v>1</v>
      </c>
      <c r="T10" s="190" t="s">
        <v>124</v>
      </c>
      <c r="U10" s="190" t="s">
        <v>125</v>
      </c>
      <c r="V10" s="190" t="s">
        <v>133</v>
      </c>
    </row>
    <row r="11" spans="1:22" s="147" customFormat="1" ht="14.4" x14ac:dyDescent="0.3">
      <c r="A11" s="139">
        <v>13.657</v>
      </c>
      <c r="B11" s="143">
        <v>80</v>
      </c>
      <c r="C11" s="143">
        <v>6.1740000000000004</v>
      </c>
      <c r="D11" s="141">
        <v>7.4</v>
      </c>
      <c r="E11" s="139">
        <v>-0.13600000000000001</v>
      </c>
      <c r="F11" s="143">
        <v>13.792999999999999</v>
      </c>
      <c r="G11" s="142">
        <v>0.20972222222222223</v>
      </c>
      <c r="H11" s="143" t="s">
        <v>40</v>
      </c>
      <c r="I11" s="143" t="s">
        <v>41</v>
      </c>
      <c r="J11" s="143" t="s">
        <v>1</v>
      </c>
      <c r="K11" s="143" t="s">
        <v>62</v>
      </c>
      <c r="L11" s="143">
        <v>17</v>
      </c>
      <c r="M11" s="143">
        <v>39</v>
      </c>
      <c r="N11" s="143">
        <v>5</v>
      </c>
      <c r="O11" s="143">
        <v>3</v>
      </c>
      <c r="P11" s="143" t="s">
        <v>43</v>
      </c>
      <c r="Q11" s="143" t="s">
        <v>101</v>
      </c>
      <c r="R11" s="143" t="s">
        <v>2</v>
      </c>
      <c r="S11" s="143">
        <v>1</v>
      </c>
      <c r="T11" s="190" t="s">
        <v>126</v>
      </c>
      <c r="U11" s="190" t="s">
        <v>127</v>
      </c>
      <c r="V11" s="190" t="s">
        <v>134</v>
      </c>
    </row>
    <row r="12" spans="1:22" s="147" customFormat="1" ht="14.4" x14ac:dyDescent="0.3">
      <c r="A12" s="139">
        <v>13.657</v>
      </c>
      <c r="B12" s="143">
        <v>80</v>
      </c>
      <c r="C12" s="143">
        <v>6.1740000000000004</v>
      </c>
      <c r="D12" s="141">
        <v>7.4</v>
      </c>
      <c r="E12" s="139">
        <v>-1.5629999999999999</v>
      </c>
      <c r="F12" s="143">
        <v>15.22</v>
      </c>
      <c r="G12" s="142">
        <v>0.17569444444444443</v>
      </c>
      <c r="H12" s="143" t="s">
        <v>40</v>
      </c>
      <c r="I12" s="143" t="s">
        <v>41</v>
      </c>
      <c r="J12" s="143" t="s">
        <v>1</v>
      </c>
      <c r="K12" s="143" t="s">
        <v>45</v>
      </c>
      <c r="L12" s="143">
        <v>422</v>
      </c>
      <c r="M12" s="143">
        <v>236</v>
      </c>
      <c r="N12" s="143">
        <v>18</v>
      </c>
      <c r="O12" s="143">
        <v>4</v>
      </c>
      <c r="P12" s="143" t="s">
        <v>43</v>
      </c>
      <c r="Q12" s="143" t="s">
        <v>99</v>
      </c>
      <c r="R12" s="143" t="s">
        <v>2</v>
      </c>
      <c r="S12" s="143">
        <v>2</v>
      </c>
      <c r="T12" s="190" t="s">
        <v>128</v>
      </c>
      <c r="U12" s="190" t="s">
        <v>129</v>
      </c>
      <c r="V12" s="190" t="s">
        <v>135</v>
      </c>
    </row>
    <row r="13" spans="1:22" s="147" customFormat="1" ht="14.4" x14ac:dyDescent="0.3">
      <c r="A13" s="139">
        <v>13.657</v>
      </c>
      <c r="B13" s="143">
        <v>80</v>
      </c>
      <c r="C13" s="143">
        <v>6.1740000000000004</v>
      </c>
      <c r="D13" s="141">
        <v>7.4</v>
      </c>
      <c r="E13" s="139">
        <v>-1.5629999999999999</v>
      </c>
      <c r="F13" s="143">
        <v>15.22</v>
      </c>
      <c r="G13" s="142">
        <v>0.16805555555555557</v>
      </c>
      <c r="H13" s="143" t="s">
        <v>40</v>
      </c>
      <c r="I13" s="143" t="s">
        <v>44</v>
      </c>
      <c r="J13" s="143" t="s">
        <v>1</v>
      </c>
      <c r="K13" s="143" t="s">
        <v>45</v>
      </c>
      <c r="L13" s="143">
        <v>2149</v>
      </c>
      <c r="M13" s="143">
        <v>263</v>
      </c>
      <c r="N13" s="143">
        <v>18</v>
      </c>
      <c r="O13" s="143">
        <v>2</v>
      </c>
      <c r="P13" s="143" t="s">
        <v>43</v>
      </c>
      <c r="Q13" s="143" t="s">
        <v>99</v>
      </c>
      <c r="R13" s="143" t="s">
        <v>3</v>
      </c>
      <c r="S13" s="143">
        <v>2</v>
      </c>
      <c r="T13" s="190" t="s">
        <v>130</v>
      </c>
      <c r="U13" s="190" t="s">
        <v>131</v>
      </c>
      <c r="V13" s="190" t="s">
        <v>136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3"/>
  <sheetViews>
    <sheetView zoomScaleNormal="100" workbookViewId="0">
      <selection activeCell="L13" sqref="L13"/>
    </sheetView>
  </sheetViews>
  <sheetFormatPr defaultRowHeight="14.4" x14ac:dyDescent="0.3"/>
  <cols>
    <col min="1" max="1" width="10.5546875" style="8" customWidth="1"/>
    <col min="2" max="2" width="6" style="40" bestFit="1" customWidth="1"/>
    <col min="3" max="3" width="5.5546875" style="17" bestFit="1" customWidth="1"/>
    <col min="4" max="4" width="18" style="17" customWidth="1"/>
    <col min="5" max="5" width="25.109375" style="17" customWidth="1"/>
    <col min="6" max="6" width="34.88671875" style="17" bestFit="1" customWidth="1"/>
    <col min="7" max="7" width="10.33203125" style="93" bestFit="1" customWidth="1"/>
    <col min="8" max="8" width="9.5546875" style="93" bestFit="1" customWidth="1"/>
    <col min="9" max="9" width="6" bestFit="1" customWidth="1"/>
    <col min="10" max="10" width="13.33203125" style="131" customWidth="1"/>
    <col min="11" max="11" width="13.5546875" style="131" customWidth="1"/>
    <col min="12" max="12" width="8.5546875" style="45" bestFit="1" customWidth="1"/>
  </cols>
  <sheetData>
    <row r="1" spans="1:12" ht="15.6" x14ac:dyDescent="0.3">
      <c r="A1" s="50" t="s">
        <v>87</v>
      </c>
      <c r="B1" s="52"/>
    </row>
    <row r="3" spans="1:12" x14ac:dyDescent="0.3">
      <c r="A3" s="62" t="str">
        <f>'Журнал раскладки труб'!A3</f>
        <v>Участок</v>
      </c>
      <c r="B3" s="63"/>
    </row>
    <row r="5" spans="1:12" x14ac:dyDescent="0.3">
      <c r="A5" s="11" t="s">
        <v>116</v>
      </c>
      <c r="B5" s="37"/>
      <c r="E5" s="157"/>
    </row>
    <row r="6" spans="1:12" x14ac:dyDescent="0.3">
      <c r="A6" s="11" t="s">
        <v>70</v>
      </c>
      <c r="B6" s="37"/>
      <c r="E6" s="91"/>
    </row>
    <row r="7" spans="1:12" ht="138.75" customHeight="1" x14ac:dyDescent="0.3">
      <c r="A7" s="111" t="s">
        <v>4</v>
      </c>
      <c r="B7" s="171" t="s">
        <v>5</v>
      </c>
      <c r="C7" s="111" t="s">
        <v>13</v>
      </c>
      <c r="D7" s="111" t="s">
        <v>88</v>
      </c>
      <c r="E7" s="111" t="s">
        <v>10</v>
      </c>
      <c r="F7" s="111" t="s">
        <v>11</v>
      </c>
      <c r="G7" s="111" t="s">
        <v>72</v>
      </c>
      <c r="H7" s="111" t="s">
        <v>73</v>
      </c>
      <c r="I7" s="111" t="s">
        <v>74</v>
      </c>
      <c r="J7" s="120" t="s">
        <v>28</v>
      </c>
      <c r="K7" s="120" t="s">
        <v>29</v>
      </c>
      <c r="L7" s="120" t="s">
        <v>30</v>
      </c>
    </row>
    <row r="8" spans="1:12" x14ac:dyDescent="0.3">
      <c r="A8" s="92">
        <v>53.997</v>
      </c>
      <c r="B8" s="31">
        <v>140</v>
      </c>
      <c r="C8" s="19" t="s">
        <v>1</v>
      </c>
      <c r="D8" s="16" t="s">
        <v>50</v>
      </c>
      <c r="E8" s="16" t="s">
        <v>51</v>
      </c>
      <c r="F8" s="16" t="s">
        <v>1</v>
      </c>
      <c r="G8" s="22">
        <v>-53.686999999999998</v>
      </c>
      <c r="H8" s="22">
        <v>0.31</v>
      </c>
      <c r="I8" s="16" t="s">
        <v>33</v>
      </c>
      <c r="J8" s="190" t="s">
        <v>119</v>
      </c>
      <c r="K8" s="190" t="s">
        <v>120</v>
      </c>
      <c r="L8" s="190" t="s">
        <v>121</v>
      </c>
    </row>
    <row r="9" spans="1:12" x14ac:dyDescent="0.3">
      <c r="A9" s="92">
        <v>54.531999999999996</v>
      </c>
      <c r="B9" s="31">
        <v>140</v>
      </c>
      <c r="C9" s="19" t="s">
        <v>1</v>
      </c>
      <c r="D9" s="16" t="s">
        <v>50</v>
      </c>
      <c r="E9" s="16" t="s">
        <v>56</v>
      </c>
      <c r="F9" s="16" t="s">
        <v>1</v>
      </c>
      <c r="G9" s="22">
        <v>-54.222000000000001</v>
      </c>
      <c r="H9" s="22">
        <v>0.31</v>
      </c>
      <c r="I9" s="16" t="s">
        <v>33</v>
      </c>
      <c r="J9" s="190" t="s">
        <v>122</v>
      </c>
      <c r="K9" s="190" t="s">
        <v>123</v>
      </c>
      <c r="L9" s="190" t="s">
        <v>132</v>
      </c>
    </row>
    <row r="10" spans="1:12" x14ac:dyDescent="0.3">
      <c r="A10" s="92">
        <v>89.460999999999999</v>
      </c>
      <c r="B10" s="31">
        <v>170</v>
      </c>
      <c r="C10" s="19" t="s">
        <v>1</v>
      </c>
      <c r="D10" s="16" t="s">
        <v>50</v>
      </c>
      <c r="E10" s="16" t="s">
        <v>51</v>
      </c>
      <c r="F10" s="16" t="s">
        <v>1</v>
      </c>
      <c r="G10" s="22">
        <v>-89.150999999999996</v>
      </c>
      <c r="H10" s="22">
        <v>0.31</v>
      </c>
      <c r="I10" s="16" t="s">
        <v>33</v>
      </c>
      <c r="J10" s="190" t="s">
        <v>124</v>
      </c>
      <c r="K10" s="190" t="s">
        <v>125</v>
      </c>
      <c r="L10" s="190" t="s">
        <v>133</v>
      </c>
    </row>
    <row r="11" spans="1:12" x14ac:dyDescent="0.3">
      <c r="A11" s="92">
        <v>89.977999999999994</v>
      </c>
      <c r="B11" s="31">
        <v>170</v>
      </c>
      <c r="C11" s="19" t="s">
        <v>1</v>
      </c>
      <c r="D11" s="16" t="s">
        <v>50</v>
      </c>
      <c r="E11" s="16" t="s">
        <v>56</v>
      </c>
      <c r="F11" s="16" t="s">
        <v>1</v>
      </c>
      <c r="G11" s="22">
        <v>-89.668000000000006</v>
      </c>
      <c r="H11" s="22">
        <v>0.31</v>
      </c>
      <c r="I11" s="16" t="s">
        <v>33</v>
      </c>
      <c r="J11" s="190" t="s">
        <v>126</v>
      </c>
      <c r="K11" s="190" t="s">
        <v>127</v>
      </c>
      <c r="L11" s="190" t="s">
        <v>134</v>
      </c>
    </row>
    <row r="12" spans="1:12" x14ac:dyDescent="0.3">
      <c r="A12" s="92">
        <v>113.98699999999999</v>
      </c>
      <c r="B12" s="31">
        <v>190</v>
      </c>
      <c r="C12" s="19" t="s">
        <v>1</v>
      </c>
      <c r="D12" s="16" t="s">
        <v>50</v>
      </c>
      <c r="E12" s="16" t="s">
        <v>51</v>
      </c>
      <c r="F12" s="16" t="s">
        <v>1</v>
      </c>
      <c r="G12" s="22">
        <v>-113.67700000000001</v>
      </c>
      <c r="H12" s="22">
        <v>0.31</v>
      </c>
      <c r="I12" s="16" t="s">
        <v>33</v>
      </c>
      <c r="J12" s="190" t="s">
        <v>128</v>
      </c>
      <c r="K12" s="190" t="s">
        <v>129</v>
      </c>
      <c r="L12" s="190" t="s">
        <v>135</v>
      </c>
    </row>
    <row r="13" spans="1:12" x14ac:dyDescent="0.3">
      <c r="A13" s="92">
        <v>114.815</v>
      </c>
      <c r="B13" s="31">
        <v>190</v>
      </c>
      <c r="C13" s="19" t="s">
        <v>1</v>
      </c>
      <c r="D13" s="16" t="s">
        <v>50</v>
      </c>
      <c r="E13" s="16" t="s">
        <v>56</v>
      </c>
      <c r="F13" s="16" t="s">
        <v>1</v>
      </c>
      <c r="G13" s="22">
        <v>-114.505</v>
      </c>
      <c r="H13" s="22">
        <v>0.31</v>
      </c>
      <c r="I13" s="16" t="s">
        <v>33</v>
      </c>
      <c r="J13" s="190" t="s">
        <v>130</v>
      </c>
      <c r="K13" s="190" t="s">
        <v>131</v>
      </c>
      <c r="L13" s="190" t="s">
        <v>136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1</vt:i4>
      </vt:variant>
    </vt:vector>
  </HeadingPairs>
  <TitlesOfParts>
    <vt:vector size="15" baseType="lpstr">
      <vt:lpstr>Журнал раскладки труб</vt:lpstr>
      <vt:lpstr>Маркеры</vt:lpstr>
      <vt:lpstr>Инсталляции</vt:lpstr>
      <vt:lpstr>Список врезок</vt:lpstr>
      <vt:lpstr>Аномалии</vt:lpstr>
      <vt:lpstr>Список наиб. опасн. аномалий</vt:lpstr>
      <vt:lpstr>Список наиб. опасн. расслоений</vt:lpstr>
      <vt:lpstr>Список наиб. опасн. вмятин</vt:lpstr>
      <vt:lpstr>Аномалии первоочередн. ремонта</vt:lpstr>
      <vt:lpstr>Аномалии подлежащие ремонту</vt:lpstr>
      <vt:lpstr>Список расслоений</vt:lpstr>
      <vt:lpstr>Аномалии ВД</vt:lpstr>
      <vt:lpstr>Кластера и кластериз. аномалии</vt:lpstr>
      <vt:lpstr>Ремонты</vt:lpstr>
      <vt:lpstr>'Аномалии первоочередн. ремонта'!Область_печати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Сериков Айжас Бауржанулы</cp:lastModifiedBy>
  <dcterms:created xsi:type="dcterms:W3CDTF">2013-06-28T10:11:52Z</dcterms:created>
  <dcterms:modified xsi:type="dcterms:W3CDTF">2025-12-05T17:27:15Z</dcterms:modified>
</cp:coreProperties>
</file>